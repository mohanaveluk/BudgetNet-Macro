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Muthu\Macro\Sample\"/>
    </mc:Choice>
  </mc:AlternateContent>
  <xr:revisionPtr revIDLastSave="0" documentId="13_ncr:1_{79E3E967-B773-4BC5-A6AC-22435951AD7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Tool" sheetId="1" r:id="rId1"/>
    <sheet name="datalist" sheetId="2" state="hidden" r:id="rId2"/>
    <sheet name="Validate" sheetId="52" r:id="rId3"/>
    <sheet name="My Invoices" sheetId="104" r:id="rId4"/>
    <sheet name="Report" sheetId="108" r:id="rId5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8" i="104" l="1"/>
  <c r="AA18" i="104"/>
  <c r="AB17" i="104"/>
  <c r="AA17" i="104"/>
  <c r="AB16" i="104"/>
  <c r="AA16" i="104"/>
  <c r="AB15" i="104"/>
  <c r="AA15" i="104"/>
  <c r="AB14" i="104"/>
  <c r="AA14" i="104"/>
  <c r="AB13" i="104"/>
  <c r="AA13" i="104"/>
  <c r="AB12" i="104"/>
  <c r="AA12" i="104"/>
  <c r="AB11" i="104"/>
  <c r="AA11" i="104"/>
  <c r="AB10" i="104"/>
  <c r="AA10" i="104"/>
  <c r="AB9" i="104"/>
  <c r="AA9" i="104"/>
  <c r="AB8" i="104"/>
  <c r="AA8" i="104"/>
  <c r="AB7" i="104"/>
  <c r="AA7" i="104"/>
  <c r="AB6" i="104"/>
  <c r="AA6" i="104"/>
  <c r="AB5" i="104"/>
  <c r="AA5" i="104"/>
  <c r="AB4" i="104"/>
  <c r="AA4" i="104"/>
  <c r="AB3" i="104"/>
  <c r="AA3" i="104"/>
  <c r="AB2" i="104"/>
  <c r="AA2" i="104"/>
</calcChain>
</file>

<file path=xl/sharedStrings.xml><?xml version="1.0" encoding="utf-8"?>
<sst xmlns="http://schemas.openxmlformats.org/spreadsheetml/2006/main" count="415" uniqueCount="187">
  <si>
    <t>Source file location</t>
  </si>
  <si>
    <t>AddNewColumn</t>
  </si>
  <si>
    <t>Status</t>
  </si>
  <si>
    <t>StatusColumn</t>
  </si>
  <si>
    <t>QueryReasonColumn</t>
  </si>
  <si>
    <t>Gaya001</t>
  </si>
  <si>
    <t>Abhi002</t>
  </si>
  <si>
    <t>Diwa003</t>
  </si>
  <si>
    <t>Swet004</t>
  </si>
  <si>
    <t>Pras005</t>
  </si>
  <si>
    <t>Abhi006</t>
  </si>
  <si>
    <t>Mich007</t>
  </si>
  <si>
    <t>Ivy008</t>
  </si>
  <si>
    <t>Vija009</t>
  </si>
  <si>
    <t>Sura010</t>
  </si>
  <si>
    <t>Prav011</t>
  </si>
  <si>
    <t>Sent012</t>
  </si>
  <si>
    <t>Uma013</t>
  </si>
  <si>
    <t>Pare014</t>
  </si>
  <si>
    <t>Tara015</t>
  </si>
  <si>
    <t>ID</t>
  </si>
  <si>
    <t>Client Name</t>
  </si>
  <si>
    <t>Urgent Invoice</t>
  </si>
  <si>
    <t>Xero Invoice Number</t>
  </si>
  <si>
    <t>Query Status</t>
  </si>
  <si>
    <t>Date of Invoice</t>
  </si>
  <si>
    <t>Provider</t>
  </si>
  <si>
    <t>Total</t>
  </si>
  <si>
    <t>Document Link</t>
  </si>
  <si>
    <t>This Invoice in CRM</t>
  </si>
  <si>
    <t>Date resend the approval email</t>
  </si>
  <si>
    <t>Careview Reference Number</t>
  </si>
  <si>
    <t>Notes</t>
  </si>
  <si>
    <t>Carisma Team Member for Entry</t>
  </si>
  <si>
    <t>Reviewed</t>
  </si>
  <si>
    <t>Reviewed by</t>
  </si>
  <si>
    <t>Date approved by client</t>
  </si>
  <si>
    <t>NDIS Number</t>
  </si>
  <si>
    <t>Added Time</t>
  </si>
  <si>
    <t>test</t>
  </si>
  <si>
    <t>ProcessorID</t>
  </si>
  <si>
    <t>Lines</t>
  </si>
  <si>
    <t>CW</t>
  </si>
  <si>
    <t>Carisma Notes</t>
  </si>
  <si>
    <t>Nature Of Invoice</t>
  </si>
  <si>
    <t>Processor Flag</t>
  </si>
  <si>
    <t>Processing Time</t>
  </si>
  <si>
    <t>Carry Forward Flag</t>
  </si>
  <si>
    <t>Process completed</t>
  </si>
  <si>
    <t>Processor</t>
  </si>
  <si>
    <t xml:space="preserve">Processor data </t>
  </si>
  <si>
    <t/>
  </si>
  <si>
    <t>In Queue</t>
  </si>
  <si>
    <t>false</t>
  </si>
  <si>
    <t>3903220000001755647</t>
  </si>
  <si>
    <t>Jessica Ramage</t>
  </si>
  <si>
    <t>R229609</t>
  </si>
  <si>
    <t>Refund - 2142038000001639568</t>
  </si>
  <si>
    <t>https://creatorexport.zoho.com/file/michael1466/budget-net-system/All_Invoices/3903220000001755647/Document/download/daCysV3qknD6QkhbmOZEBFx5y6tTr0M59GVdXKfEBFgp835j9avpwO96v42naAkyNaXWDtBz86KDkC7wHHeQFWPagEGkvn8bG1sn?filepath=/1589435541727_IMG_7005.JPG</t>
  </si>
  <si>
    <t>https://crm.zoho.com/crm/org635547234/tab/CustomModule3/2142038000009357244</t>
  </si>
  <si>
    <t>430774338</t>
  </si>
  <si>
    <t>Query</t>
  </si>
  <si>
    <t>Funding insufficient for plan category</t>
  </si>
  <si>
    <t>3903220000001755591</t>
  </si>
  <si>
    <t>Michael Andrews</t>
  </si>
  <si>
    <t>INV-93709-JFU</t>
  </si>
  <si>
    <t>JFU Care - 2142038000001640733</t>
  </si>
  <si>
    <t>https://creatorexport.zoho.com/file/michael1466/budget-net-system/All_Invoices/3903220000001755591/Document/download/daCysV3qknD6QkhbmOZEBFx5y6tTr0M59GVdXKfEBFgp835j9avpwO96v42naAkyNaXWDtBz86KDkC7wHHeQFWPagEGkvn8bG1sn?filepath=/1589433757525_Invoice_INV-93709.pdf</t>
  </si>
  <si>
    <t>https://crm.zoho.com/crm/org635547234/tab/CustomModule3/2142038000009352221</t>
  </si>
  <si>
    <t>430594297</t>
  </si>
  <si>
    <t>3903220000001755567</t>
  </si>
  <si>
    <t>Blaze Liddle</t>
  </si>
  <si>
    <t>325199-SCP</t>
  </si>
  <si>
    <t>Scope - 2142038000001639184</t>
  </si>
  <si>
    <t>https://creatorexport.zoho.com/file/michael1466/budget-net-system/All_Invoices/3903220000001755567/Document/download/daCysV3qknD6QkhbmOZEBFx5y6tTr0M59GVdXKfEBFgp835j9avpwO96v42naAkyNaXWDtBz86KDkC7wHHeQFWPagEGkvn8bG1sn?filepath=/1589432718966_0_ARInv_GCare_SN__26_.pdf</t>
  </si>
  <si>
    <t>https://crm.zoho.com/crm/org635547234/tab/CustomModule3/2142038000009362141</t>
  </si>
  <si>
    <t>430781548</t>
  </si>
  <si>
    <t>EOD file is generated successfully</t>
  </si>
  <si>
    <t>3903220000001768003</t>
  </si>
  <si>
    <t>Callum Gribbin</t>
  </si>
  <si>
    <t>12052020-NDIS-CG-VPS</t>
  </si>
  <si>
    <t>VPATS - 2142038000001639862</t>
  </si>
  <si>
    <t>https://creatorexport.zoho.com/file/michael1466/budget-net-system/All_Invoices/3903220000001768003/Document/download/daCysV3qknD6QkhbmOZEBFx5y6tTr0M59GVdXKfEBFgp835j9avpwO96v42naAkyNaXWDtBz86KDkC7wHHeQFWPagEGkvn8bG1sn?filepath=/1589438708410_CG_VPATS_Invoice_12052020.pdf</t>
  </si>
  <si>
    <t>https://crm.zoho.com/crm/org635547234/tab/CustomModule3/2142038000009350183</t>
  </si>
  <si>
    <t>430319227</t>
  </si>
  <si>
    <t>3903220000001767003</t>
  </si>
  <si>
    <t>Andy Huynh</t>
  </si>
  <si>
    <t>R2945286AH</t>
  </si>
  <si>
    <t>https://creatorexport.zoho.com/file/michael1466/budget-net-system/All_Invoices/3903220000001767003/Document/download/daCysV3qknD6QkhbmOZEBFx5y6tTr0M59GVdXKfEBFgp835j9avpwO96v42naAkyNaXWDtBz86KDkC7wHHeQFWPagEGkvn8bG1sn?filepath=/1589435768673_Harvey_Norman.pdf</t>
  </si>
  <si>
    <t>https://crm.zoho.com/crm/org635547234/tab/CustomModule3/2142038000009354128</t>
  </si>
  <si>
    <t>Refund to the client account. Do NOT refund to the client's carer</t>
  </si>
  <si>
    <t>430319342</t>
  </si>
  <si>
    <t>3903220000001755655</t>
  </si>
  <si>
    <t>Jessica O'Donovan</t>
  </si>
  <si>
    <t>14-05-2020-JOD-GEP</t>
  </si>
  <si>
    <t>Glen Eira Physiotherapy - 2142038000001987072</t>
  </si>
  <si>
    <t>https://creatorexport.zoho.com/file/michael1466/budget-net-system/All_Invoices/3903220000001755655/Document/download/daCysV3qknD6QkhbmOZEBFx5y6tTr0M59GVdXKfEBFgp835j9avpwO96v42naAkyNaXWDtBz86KDkC7wHHeQFWPagEGkvn8bG1sn?filepath=/1589435877611_Miss_Jessica_O_Donovan_Invoice__2_.pdf</t>
  </si>
  <si>
    <t>https://crm.zoho.com/crm/org635547234/tab/CustomModule3/2142038000009364118</t>
  </si>
  <si>
    <t>430587372</t>
  </si>
  <si>
    <t>3903220000001755651</t>
  </si>
  <si>
    <t>Chengkun Li</t>
  </si>
  <si>
    <t>ADJ-0203550-PMY</t>
  </si>
  <si>
    <t>Pei Min You - 2142038000005586131</t>
  </si>
  <si>
    <t>https://creatorexport.zoho.com/file/michael1466/budget-net-system/All_Invoices/3903220000001755651/Document/download/daCysV3qknD6QkhbmOZEBFx5y6tTr0M59GVdXKfEBFgp835j9avpwO96v42naAkyNaXWDtBz86KDkC7wHHeQFWPagEGkvn8bG1sn?filepath=/1589435673661_IMG20200514102907__1_.jpg</t>
  </si>
  <si>
    <t>https://crm.zoho.com/crm/org635547234/tab/CustomModule3/2142038000009355152</t>
  </si>
  <si>
    <t>430383443</t>
  </si>
  <si>
    <t>3903220000001755643</t>
  </si>
  <si>
    <t>Oliver Dubberley</t>
  </si>
  <si>
    <t>176884011-DIS</t>
  </si>
  <si>
    <t>Discovering Strength - 2142038000001925061</t>
  </si>
  <si>
    <t>https://creatorexport.zoho.com/file/michael1466/budget-net-system/All_Invoices/3903220000001755643/Document/download/daCysV3qknD6QkhbmOZEBFx5y6tTr0M59GVdXKfEBFgp835j9avpwO96v42naAkyNaXWDtBz86KDkC7wHHeQFWPagEGkvn8bG1sn?filepath=/1589435414685_invoice_-_2020-05-14T134921.808.pdf</t>
  </si>
  <si>
    <t>https://crm.zoho.com/crm/org635547234/tab/CustomModule3/2142038000009357225</t>
  </si>
  <si>
    <t>430411971</t>
  </si>
  <si>
    <t>3903220000001755639</t>
  </si>
  <si>
    <t>Maria Hill</t>
  </si>
  <si>
    <t>INV-9151-UDCPL</t>
  </si>
  <si>
    <t>United Disability - 2142038000006409009</t>
  </si>
  <si>
    <t>https://creatorexport.zoho.com/file/michael1466/budget-net-system/All_Invoices/3903220000001755639/Document/download/daCysV3qknD6QkhbmOZEBFx5y6tTr0M59GVdXKfEBFgp835j9avpwO96v42naAkyNaXWDtBz86KDkC7wHHeQFWPagEGkvn8bG1sn?filepath=/1589435361632_Invoice_INV-9151.pdf</t>
  </si>
  <si>
    <t>https://crm.zoho.com/crm/org635547234/tab/CustomModule3/2142038000009352227</t>
  </si>
  <si>
    <t>431448177</t>
  </si>
  <si>
    <t>3903220000001755635</t>
  </si>
  <si>
    <t>Michael Shields</t>
  </si>
  <si>
    <t>CIN1080579-KSL</t>
  </si>
  <si>
    <t>Karingal St Laurence - genU - 2142038000001641060</t>
  </si>
  <si>
    <t>https://creatorexport.zoho.com/file/michael1466/budget-net-system/All_Invoices/3903220000001755635/Document/download/daCysV3qknD6QkhbmOZEBFx5y6tTr0M59GVdXKfEBFgp835j9avpwO96v42naAkyNaXWDtBz86KDkC7wHHeQFWPagEGkvn8bG1sn?filepath=/1589435110204_Acrobat_Format__PDF___4_.pdf</t>
  </si>
  <si>
    <t>https://crm.zoho.com/crm/org635547234/tab/CustomModule3/2142038000009350177</t>
  </si>
  <si>
    <t>430077717</t>
  </si>
  <si>
    <t>3903220000001755631</t>
  </si>
  <si>
    <t>Katherine Cheetham</t>
  </si>
  <si>
    <t>35066-MSPL</t>
  </si>
  <si>
    <t>Morcare Services - 2142038000001640802</t>
  </si>
  <si>
    <t>https://creatorexport.zoho.com/file/michael1466/budget-net-system/All_Invoices/3903220000001755631/Document/download/daCysV3qknD6QkhbmOZEBFx5y6tTr0M59GVdXKfEBFgp835j9avpwO96v42naAkyNaXWDtBz86KDkC7wHHeQFWPagEGkvn8bG1sn?filepath=/1589434712946_Morcare_Services_20200514_152748.pdf</t>
  </si>
  <si>
    <t>https://crm.zoho.com/crm/org635547234/tab/CustomModule3/2142038000009363153</t>
  </si>
  <si>
    <t>430503955</t>
  </si>
  <si>
    <t>3903220000001755627</t>
  </si>
  <si>
    <t>Charlie Welch</t>
  </si>
  <si>
    <t>35062-MSPL</t>
  </si>
  <si>
    <t>https://creatorexport.zoho.com/file/michael1466/budget-net-system/All_Invoices/3903220000001755627/Document/download/daCysV3qknD6QkhbmOZEBFx5y6tTr0M59GVdXKfEBFgp835j9avpwO96v42naAkyNaXWDtBz86KDkC7wHHeQFWPagEGkvn8bG1sn?filepath=/1589434628876_Morcare_Services_20200514_152637.pdf</t>
  </si>
  <si>
    <t>https://crm.zoho.com/crm/org635547234/tab/CustomModule3/2142038000009357219</t>
  </si>
  <si>
    <t>430254123</t>
  </si>
  <si>
    <t>3903220000001755587</t>
  </si>
  <si>
    <t>Courtney Tonkin</t>
  </si>
  <si>
    <t>00004195-CSP</t>
  </si>
  <si>
    <t>Complete Speech Pathology - 2142038000001639583</t>
  </si>
  <si>
    <t>https://creatorexport.zoho.com/file/michael1466/budget-net-system/All_Invoices/3903220000001755587/Document/download/daCysV3qknD6QkhbmOZEBFx5y6tTr0M59GVdXKfEBFgp835j9avpwO96v42naAkyNaXWDtBz86KDkC7wHHeQFWPagEGkvn8bG1sn?filepath=/1589433677301_C.Tonkin_Inv4195_30.04.20.pdf</t>
  </si>
  <si>
    <t>https://crm.zoho.com/crm/org635547234/tab/CustomModule3/2142038000009355135</t>
  </si>
  <si>
    <t>The attached invoice is Approved for payment from the NDIS Plan of Courtney Tonkin.
Thanks and regards,
Eileen</t>
  </si>
  <si>
    <t>430773778</t>
  </si>
  <si>
    <t>3903220000001755583</t>
  </si>
  <si>
    <t>Mark Macfarlane</t>
  </si>
  <si>
    <t>RINV-13729</t>
  </si>
  <si>
    <t>https://creatorexport.zoho.com/file/michael1466/budget-net-system/All_Invoices/3903220000001755583/Document/download/daCysV3qknD6QkhbmOZEBFx5y6tTr0M59GVdXKfEBFgp835j9avpwO96v42naAkyNaXWDtBz86KDkC7wHHeQFWPagEGkvn8bG1sn?filepath=/1589433152425_Invoice_INV-13729.pdf</t>
  </si>
  <si>
    <t>https://crm.zoho.com/crm/org635547234/tab/CustomModule3/2142038000009362147</t>
  </si>
  <si>
    <t>Please refund this invoice asap as I have been self managed since the 7th of April therefore you have no need to invoice me for your services.
Mark Mac Farlane</t>
  </si>
  <si>
    <t>430912701</t>
  </si>
  <si>
    <t>3903220000001755579</t>
  </si>
  <si>
    <t>Monique Edmondson</t>
  </si>
  <si>
    <t>188651541-NJF</t>
  </si>
  <si>
    <t>NJF exercise Physiologists - 2142038000001640849</t>
  </si>
  <si>
    <t>https://creatorexport.zoho.com/file/michael1466/budget-net-system/All_Invoices/3903220000001755579/Document/download/daCysV3qknD6QkhbmOZEBFx5y6tTr0M59GVdXKfEBFgp835j9avpwO96v42naAkyNaXWDtBz86KDkC7wHHeQFWPagEGkvn8bG1sn?filepath=/1589432975498_invoice_-_2020-05-14T130814.564.pdf</t>
  </si>
  <si>
    <t>https://crm.zoho.com/crm/org635547234/tab/CustomModule3/2142038000009354122</t>
  </si>
  <si>
    <t>430587416</t>
  </si>
  <si>
    <t>3903220000001755575</t>
  </si>
  <si>
    <t>Simone Brady</t>
  </si>
  <si>
    <t>R118145</t>
  </si>
  <si>
    <t>https://creatorexport.zoho.com/file/michael1466/budget-net-system/All_Invoices/3903220000001755575/Document/download/daCysV3qknD6QkhbmOZEBFx5y6tTr0M59GVdXKfEBFgp835j9avpwO96v42naAkyNaXWDtBz86KDkC7wHHeQFWPagEGkvn8bG1sn?filepath=/1589432917891_20200514_104419.jpg</t>
  </si>
  <si>
    <t>https://crm.zoho.com/crm/org635547234/tab/CustomModule3/2142038000009363136</t>
  </si>
  <si>
    <t>430625517</t>
  </si>
  <si>
    <t>3903220000001755571</t>
  </si>
  <si>
    <t>Mathew Shih</t>
  </si>
  <si>
    <t>325201-SCP</t>
  </si>
  <si>
    <t>https://creatorexport.zoho.com/file/michael1466/budget-net-system/All_Invoices/3903220000001755571/Document/download/daCysV3qknD6QkhbmOZEBFx5y6tTr0M59GVdXKfEBFgp835j9avpwO96v42naAkyNaXWDtBz86KDkC7wHHeQFWPagEGkvn8bG1sn?filepath=/1589432842842_0_ARInv_GCare_SN__27_.pdf</t>
  </si>
  <si>
    <t>https://crm.zoho.com/crm/org635547234/tab/CustomModule3/2142038000009356171</t>
  </si>
  <si>
    <t>431194524</t>
  </si>
  <si>
    <t>Y</t>
  </si>
  <si>
    <t>N</t>
  </si>
  <si>
    <t>Processor ID</t>
  </si>
  <si>
    <t>Date</t>
  </si>
  <si>
    <t>Batch</t>
  </si>
  <si>
    <t>14-05-2020-B2</t>
  </si>
  <si>
    <t>No of Invoices</t>
  </si>
  <si>
    <t>Total Allocated</t>
  </si>
  <si>
    <t>Completed</t>
  </si>
  <si>
    <t>Pending(In Queue)</t>
  </si>
  <si>
    <t>Duplicate</t>
  </si>
  <si>
    <t>Already in CV</t>
  </si>
  <si>
    <t>23/05/2020 23:47:15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</si>
</sst>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dd/mm/yyyy\ hh:mm:ss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 applyBorder="1"/>
    <xf numFmtId="0" fontId="0" fillId="3" borderId="0" xfId="0" applyFill="1"/>
    <xf numFmtId="0" fontId="1" fillId="4" borderId="0" xfId="0" applyFont="1" applyFill="1"/>
    <xf numFmtId="0" fontId="3" fillId="5" borderId="1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3" fillId="6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12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8" borderId="0" xfId="0" applyFill="1"/>
    <xf numFmtId="0" fontId="1" fillId="8" borderId="0" xfId="0" applyFont="1" applyFill="1"/>
    <xf numFmtId="0" fontId="5" fillId="0" borderId="0" xfId="0" applyFont="1"/>
    <xf numFmtId="0" fontId="4" fillId="7" borderId="13" xfId="0" applyFont="1" applyFill="1" applyBorder="1"/>
    <xf numFmtId="0" fontId="4" fillId="9" borderId="14" xfId="0" applyFont="1" applyFill="1" applyBorder="1"/>
    <xf numFmtId="0" fontId="0" fillId="9" borderId="14" xfId="0" applyFill="1" applyBorder="1"/>
    <xf numFmtId="164" fontId="0" fillId="9" borderId="14" xfId="0" applyNumberFormat="1" applyFill="1" applyBorder="1"/>
    <xf numFmtId="165" fontId="0" fillId="9" borderId="14" xfId="0" applyNumberFormat="1" applyFill="1" applyBorder="1"/>
    <xf numFmtId="0" fontId="0" fillId="7" borderId="13" xfId="0" applyFill="1" applyBorder="1"/>
    <xf numFmtId="0" fontId="4" fillId="7" borderId="13" xfId="0" applyFont="1" applyFill="1" applyBorder="1" applyAlignment="1">
      <alignment horizontal="center"/>
    </xf>
    <xf numFmtId="0" fontId="0" fillId="0" borderId="13" xfId="0" applyBorder="1" applyAlignment="1">
      <alignment horizontal="left" indent="1"/>
    </xf>
    <xf numFmtId="0" fontId="0" fillId="0" borderId="13" xfId="0" applyBorder="1" applyAlignment="1">
      <alignment horizontal="center"/>
    </xf>
    <xf numFmtId="0" fontId="6" fillId="0" borderId="13" xfId="0" applyFont="1" applyBorder="1" applyAlignment="1">
      <alignment horizontal="left" indent="1"/>
    </xf>
    <xf numFmtId="0" fontId="7" fillId="10" borderId="13" xfId="0" applyFont="1" applyFill="1" applyBorder="1" applyAlignment="1">
      <alignment horizontal="center"/>
    </xf>
    <xf numFmtId="0" fontId="4" fillId="2" borderId="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175260</xdr:rowOff>
        </xdr:from>
        <xdr:to>
          <xdr:col>12</xdr:col>
          <xdr:colOff>563880</xdr:colOff>
          <xdr:row>5</xdr:row>
          <xdr:rowOff>68580</xdr:rowOff>
        </xdr:to>
        <xdr:sp macro="" textlink="">
          <xdr:nvSpPr>
            <xdr:cNvPr id="1025" name="txtSourceFileNa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10</xdr:row>
          <xdr:rowOff>129540</xdr:rowOff>
        </xdr:from>
        <xdr:to>
          <xdr:col>6</xdr:col>
          <xdr:colOff>586740</xdr:colOff>
          <xdr:row>13</xdr:row>
          <xdr:rowOff>129540</xdr:rowOff>
        </xdr:to>
        <xdr:sp macro="" textlink="">
          <xdr:nvSpPr>
            <xdr:cNvPr id="1026" name="cmdGener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3</xdr:row>
          <xdr:rowOff>175260</xdr:rowOff>
        </xdr:from>
        <xdr:to>
          <xdr:col>14</xdr:col>
          <xdr:colOff>160020</xdr:colOff>
          <xdr:row>5</xdr:row>
          <xdr:rowOff>68580</xdr:rowOff>
        </xdr:to>
        <xdr:sp macro="" textlink="">
          <xdr:nvSpPr>
            <xdr:cNvPr id="1027" name="cmdBrow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11</xdr:row>
          <xdr:rowOff>0</xdr:rowOff>
        </xdr:from>
        <xdr:to>
          <xdr:col>13</xdr:col>
          <xdr:colOff>76200</xdr:colOff>
          <xdr:row>12</xdr:row>
          <xdr:rowOff>30480</xdr:rowOff>
        </xdr:to>
        <xdr:sp macro="" textlink="">
          <xdr:nvSpPr>
            <xdr:cNvPr id="1028" name="lblErro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6</xdr:row>
          <xdr:rowOff>167640</xdr:rowOff>
        </xdr:from>
        <xdr:to>
          <xdr:col>12</xdr:col>
          <xdr:colOff>548640</xdr:colOff>
          <xdr:row>8</xdr:row>
          <xdr:rowOff>60960</xdr:rowOff>
        </xdr:to>
        <xdr:sp macro="" textlink="">
          <xdr:nvSpPr>
            <xdr:cNvPr id="1029" name="cmbProcess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160020</xdr:rowOff>
        </xdr:from>
        <xdr:to>
          <xdr:col>8</xdr:col>
          <xdr:colOff>365760</xdr:colOff>
          <xdr:row>10</xdr:row>
          <xdr:rowOff>175260</xdr:rowOff>
        </xdr:to>
        <xdr:sp macro="" textlink="">
          <xdr:nvSpPr>
            <xdr:cNvPr id="25602" name="cmdValidateButton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9"/>
  <sheetViews>
    <sheetView showGridLines="0" tabSelected="1" workbookViewId="0">
      <selection activeCell="D3" sqref="D3"/>
    </sheetView>
  </sheetViews>
  <sheetFormatPr defaultRowHeight="14.4" x14ac:dyDescent="0.3"/>
  <cols>
    <col min="1" max="16384" width="8.88671875" style="2"/>
  </cols>
  <sheetData>
    <row r="1" spans="2:16" ht="15" thickBot="1" x14ac:dyDescent="0.35"/>
    <row r="2" spans="2:16" x14ac:dyDescent="0.3">
      <c r="B2" s="8"/>
      <c r="C2" s="33" t="s">
        <v>50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10"/>
    </row>
    <row r="3" spans="2:16" x14ac:dyDescent="0.3">
      <c r="B3" s="1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2"/>
    </row>
    <row r="4" spans="2:16" x14ac:dyDescent="0.3">
      <c r="B4" s="1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2"/>
    </row>
    <row r="5" spans="2:16" x14ac:dyDescent="0.3">
      <c r="B5" s="11"/>
      <c r="C5" s="1" t="s">
        <v>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2"/>
    </row>
    <row r="6" spans="2:16" x14ac:dyDescent="0.3">
      <c r="B6" s="1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2"/>
    </row>
    <row r="7" spans="2:16" x14ac:dyDescent="0.3">
      <c r="B7" s="1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2"/>
    </row>
    <row r="8" spans="2:16" x14ac:dyDescent="0.3">
      <c r="B8" s="11"/>
      <c r="C8" s="1"/>
      <c r="D8" s="1" t="s">
        <v>49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2"/>
    </row>
    <row r="9" spans="2:16" x14ac:dyDescent="0.3">
      <c r="B9" s="1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2"/>
    </row>
    <row r="10" spans="2:16" x14ac:dyDescent="0.3">
      <c r="B10" s="1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2"/>
    </row>
    <row r="11" spans="2:16" x14ac:dyDescent="0.3">
      <c r="B11" s="1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2"/>
    </row>
    <row r="12" spans="2:16" x14ac:dyDescent="0.3">
      <c r="B12" s="11"/>
      <c r="C12" s="1"/>
      <c r="D12" s="1"/>
      <c r="E12" s="1"/>
      <c r="F12" s="1"/>
      <c r="G12" s="1"/>
      <c r="H12" s="1" t="s">
        <v>48</v>
      </c>
      <c r="I12" s="1"/>
      <c r="J12" s="1"/>
      <c r="K12" s="1"/>
      <c r="L12" s="1"/>
      <c r="M12" s="1"/>
      <c r="N12" s="1"/>
      <c r="O12" s="1"/>
      <c r="P12" s="12"/>
    </row>
    <row r="13" spans="2:16" x14ac:dyDescent="0.3">
      <c r="B13" s="1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2"/>
    </row>
    <row r="14" spans="2:16" x14ac:dyDescent="0.3">
      <c r="B14" s="1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2"/>
    </row>
    <row r="15" spans="2:16" x14ac:dyDescent="0.3">
      <c r="B15" s="1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2"/>
    </row>
    <row r="16" spans="2:16" x14ac:dyDescent="0.3">
      <c r="B16" s="1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2"/>
    </row>
    <row r="17" spans="2:16" x14ac:dyDescent="0.3">
      <c r="B17" s="1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2"/>
    </row>
    <row r="18" spans="2:16" x14ac:dyDescent="0.3">
      <c r="B18" s="1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</row>
    <row r="19" spans="2:16" ht="15" thickBot="1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bProcessor">
          <controlPr defaultSize="0" autoLine="0" autoPict="0" r:id="rId5">
            <anchor moveWithCells="1">
              <from>
                <xdr:col>3</xdr:col>
                <xdr:colOff>601980</xdr:colOff>
                <xdr:row>6</xdr:row>
                <xdr:rowOff>167640</xdr:rowOff>
              </from>
              <to>
                <xdr:col>12</xdr:col>
                <xdr:colOff>548640</xdr:colOff>
                <xdr:row>8</xdr:row>
                <xdr:rowOff>60960</xdr:rowOff>
              </to>
            </anchor>
          </controlPr>
        </control>
      </mc:Choice>
      <mc:Fallback>
        <control shapeId="1029" r:id="rId4" name="cmbProcessor"/>
      </mc:Fallback>
    </mc:AlternateContent>
    <mc:AlternateContent xmlns:mc="http://schemas.openxmlformats.org/markup-compatibility/2006">
      <mc:Choice Requires="x14">
        <control shapeId="1028" r:id="rId6" name="lblError">
          <controlPr defaultSize="0" autoLine="0" r:id="rId7">
            <anchor moveWithCells="1">
              <from>
                <xdr:col>7</xdr:col>
                <xdr:colOff>7620</xdr:colOff>
                <xdr:row>11</xdr:row>
                <xdr:rowOff>0</xdr:rowOff>
              </from>
              <to>
                <xdr:col>13</xdr:col>
                <xdr:colOff>76200</xdr:colOff>
                <xdr:row>12</xdr:row>
                <xdr:rowOff>30480</xdr:rowOff>
              </to>
            </anchor>
          </controlPr>
        </control>
      </mc:Choice>
      <mc:Fallback>
        <control shapeId="1028" r:id="rId6" name="lblError"/>
      </mc:Fallback>
    </mc:AlternateContent>
    <mc:AlternateContent xmlns:mc="http://schemas.openxmlformats.org/markup-compatibility/2006">
      <mc:Choice Requires="x14">
        <control shapeId="1027" r:id="rId8" name="cmdBrowse">
          <controlPr defaultSize="0" autoLine="0" r:id="rId9">
            <anchor moveWithCells="1">
              <from>
                <xdr:col>13</xdr:col>
                <xdr:colOff>15240</xdr:colOff>
                <xdr:row>3</xdr:row>
                <xdr:rowOff>175260</xdr:rowOff>
              </from>
              <to>
                <xdr:col>14</xdr:col>
                <xdr:colOff>160020</xdr:colOff>
                <xdr:row>5</xdr:row>
                <xdr:rowOff>68580</xdr:rowOff>
              </to>
            </anchor>
          </controlPr>
        </control>
      </mc:Choice>
      <mc:Fallback>
        <control shapeId="1027" r:id="rId8" name="cmdBrowse"/>
      </mc:Fallback>
    </mc:AlternateContent>
    <mc:AlternateContent xmlns:mc="http://schemas.openxmlformats.org/markup-compatibility/2006">
      <mc:Choice Requires="x14">
        <control shapeId="1026" r:id="rId10" name="cmdGenerate">
          <controlPr defaultSize="0" autoLine="0" autoPict="0" r:id="rId11">
            <anchor moveWithCells="1">
              <from>
                <xdr:col>4</xdr:col>
                <xdr:colOff>7620</xdr:colOff>
                <xdr:row>10</xdr:row>
                <xdr:rowOff>129540</xdr:rowOff>
              </from>
              <to>
                <xdr:col>6</xdr:col>
                <xdr:colOff>586740</xdr:colOff>
                <xdr:row>13</xdr:row>
                <xdr:rowOff>129540</xdr:rowOff>
              </to>
            </anchor>
          </controlPr>
        </control>
      </mc:Choice>
      <mc:Fallback>
        <control shapeId="1026" r:id="rId10" name="cmdGenerate"/>
      </mc:Fallback>
    </mc:AlternateContent>
    <mc:AlternateContent xmlns:mc="http://schemas.openxmlformats.org/markup-compatibility/2006">
      <mc:Choice Requires="x14">
        <control shapeId="1025" r:id="rId12" name="txtSourceFileName">
          <controlPr defaultSize="0" autoLine="0" r:id="rId13">
            <anchor moveWithCells="1">
              <from>
                <xdr:col>3</xdr:col>
                <xdr:colOff>601980</xdr:colOff>
                <xdr:row>3</xdr:row>
                <xdr:rowOff>175260</xdr:rowOff>
              </from>
              <to>
                <xdr:col>12</xdr:col>
                <xdr:colOff>563880</xdr:colOff>
                <xdr:row>5</xdr:row>
                <xdr:rowOff>68580</xdr:rowOff>
              </to>
            </anchor>
          </controlPr>
        </control>
      </mc:Choice>
      <mc:Fallback>
        <control shapeId="1025" r:id="rId12" name="txtSourceFile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23"/>
  <sheetViews>
    <sheetView workbookViewId="0">
      <selection activeCell="Y1" sqref="Y1"/>
    </sheetView>
  </sheetViews>
  <sheetFormatPr defaultRowHeight="14.4" x14ac:dyDescent="0.3"/>
  <cols>
    <col min="1" max="1" width="18.44140625" bestFit="1" customWidth="1"/>
    <col min="2" max="2" width="37.33203125" bestFit="1" customWidth="1"/>
    <col min="3" max="3" width="12.109375" bestFit="1" customWidth="1"/>
    <col min="5" max="5" width="15.21875" bestFit="1" customWidth="1"/>
    <col min="7" max="7" width="16.33203125" bestFit="1" customWidth="1"/>
    <col min="8" max="8" width="12.88671875" bestFit="1" customWidth="1"/>
    <col min="29" max="29" width="16.6640625" bestFit="1" customWidth="1"/>
  </cols>
  <sheetData>
    <row r="1" spans="1:29" x14ac:dyDescent="0.3">
      <c r="A1" s="4" t="s">
        <v>20</v>
      </c>
      <c r="B1" s="5" t="s">
        <v>21</v>
      </c>
      <c r="C1" s="5" t="s">
        <v>22</v>
      </c>
      <c r="D1" s="5" t="s">
        <v>23</v>
      </c>
      <c r="E1" s="5" t="s">
        <v>2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  <c r="Q1" s="5" t="s">
        <v>35</v>
      </c>
      <c r="R1" s="5" t="s">
        <v>36</v>
      </c>
      <c r="S1" s="5" t="s">
        <v>37</v>
      </c>
      <c r="T1" s="5" t="s">
        <v>38</v>
      </c>
      <c r="U1" s="5" t="s">
        <v>39</v>
      </c>
      <c r="V1" s="6" t="s">
        <v>40</v>
      </c>
      <c r="W1" s="6" t="s">
        <v>41</v>
      </c>
      <c r="X1" s="6" t="s">
        <v>42</v>
      </c>
      <c r="Y1" s="6" t="s">
        <v>43</v>
      </c>
      <c r="Z1" s="6" t="s">
        <v>44</v>
      </c>
      <c r="AA1" s="6" t="s">
        <v>45</v>
      </c>
      <c r="AB1" s="6" t="s">
        <v>46</v>
      </c>
      <c r="AC1" s="7" t="s">
        <v>47</v>
      </c>
    </row>
    <row r="2" spans="1:29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</row>
    <row r="6" spans="1:29" s="3" customFormat="1" x14ac:dyDescent="0.3">
      <c r="A6" s="3" t="s">
        <v>40</v>
      </c>
      <c r="N6" s="3" t="s">
        <v>3</v>
      </c>
      <c r="O6" s="3" t="s">
        <v>4</v>
      </c>
      <c r="P6" s="3" t="s">
        <v>1</v>
      </c>
    </row>
    <row r="7" spans="1:29" x14ac:dyDescent="0.3">
      <c r="A7" s="16" t="s">
        <v>5</v>
      </c>
      <c r="B7" s="17"/>
      <c r="C7" s="17"/>
      <c r="D7" s="17"/>
      <c r="E7" s="17"/>
      <c r="F7" s="18"/>
      <c r="G7" s="18"/>
      <c r="H7" s="18"/>
      <c r="I7" s="17"/>
      <c r="J7" s="17"/>
      <c r="N7">
        <v>5</v>
      </c>
      <c r="O7">
        <v>6</v>
      </c>
      <c r="P7">
        <v>22</v>
      </c>
    </row>
    <row r="8" spans="1:29" x14ac:dyDescent="0.3">
      <c r="A8" s="16" t="s">
        <v>6</v>
      </c>
      <c r="B8" s="17"/>
      <c r="C8" s="17"/>
      <c r="D8" s="17"/>
      <c r="E8" s="17"/>
      <c r="F8" s="18"/>
      <c r="G8" s="18"/>
      <c r="H8" s="18"/>
      <c r="I8" s="17"/>
      <c r="J8" s="17"/>
    </row>
    <row r="9" spans="1:29" x14ac:dyDescent="0.3">
      <c r="A9" s="16" t="s">
        <v>7</v>
      </c>
      <c r="B9" s="17"/>
      <c r="C9" s="17"/>
      <c r="D9" s="17"/>
      <c r="E9" s="17"/>
      <c r="F9" s="17"/>
      <c r="G9" s="17"/>
      <c r="H9" s="17"/>
      <c r="I9" s="17"/>
      <c r="J9" s="17"/>
    </row>
    <row r="10" spans="1:29" x14ac:dyDescent="0.3">
      <c r="A10" s="16" t="s">
        <v>8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</row>
    <row r="11" spans="1:29" x14ac:dyDescent="0.3">
      <c r="A11" s="16" t="s">
        <v>9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</row>
    <row r="12" spans="1:29" x14ac:dyDescent="0.3">
      <c r="A12" s="16" t="s">
        <v>10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</row>
    <row r="13" spans="1:29" x14ac:dyDescent="0.3">
      <c r="A13" s="16" t="s">
        <v>11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</row>
    <row r="14" spans="1:29" x14ac:dyDescent="0.3">
      <c r="A14" s="16" t="s">
        <v>12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</row>
    <row r="15" spans="1:29" x14ac:dyDescent="0.3">
      <c r="A15" s="16" t="s">
        <v>13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</row>
    <row r="16" spans="1:29" x14ac:dyDescent="0.3">
      <c r="A16" s="16" t="s">
        <v>14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</row>
    <row r="17" spans="1:11" x14ac:dyDescent="0.3">
      <c r="A17" s="16" t="s">
        <v>15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</row>
    <row r="18" spans="1:11" x14ac:dyDescent="0.3">
      <c r="A18" s="16" t="s">
        <v>16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</row>
    <row r="19" spans="1:11" x14ac:dyDescent="0.3">
      <c r="A19" s="16" t="s">
        <v>17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</row>
    <row r="20" spans="1:11" x14ac:dyDescent="0.3">
      <c r="A20" s="16" t="s">
        <v>18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</row>
    <row r="21" spans="1:11" x14ac:dyDescent="0.3">
      <c r="A21" s="16" t="s">
        <v>19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</row>
    <row r="22" spans="1:11" x14ac:dyDescent="0.3">
      <c r="B22" s="17"/>
      <c r="C22" s="17"/>
      <c r="D22" s="17"/>
      <c r="E22" s="17"/>
      <c r="F22" s="17"/>
      <c r="G22" s="17"/>
      <c r="H22" s="17"/>
      <c r="I22" s="17"/>
      <c r="J22" s="17"/>
      <c r="K22" s="17"/>
    </row>
    <row r="23" spans="1:11" x14ac:dyDescent="0.3">
      <c r="B23" s="17"/>
      <c r="C23" s="17"/>
      <c r="D23" s="17"/>
      <c r="E23" s="17"/>
      <c r="F23" s="17"/>
      <c r="G23" s="17"/>
      <c r="H23" s="17"/>
      <c r="I23" s="17"/>
      <c r="J23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70FB5-748A-43F4-B464-6AED8362311A}">
  <sheetPr codeName="Sheet24"/>
  <dimension ref="B4:N18"/>
  <sheetViews>
    <sheetView showGridLines="0" workbookViewId="0">
      <selection activeCell="P7" sqref="P7"/>
    </sheetView>
  </sheetViews>
  <sheetFormatPr defaultRowHeight="14.4" x14ac:dyDescent="0.3"/>
  <sheetData>
    <row r="4" spans="2:14" x14ac:dyDescent="0.3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2:14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2:14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</row>
    <row r="7" spans="2:14" x14ac:dyDescent="0.3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</row>
    <row r="8" spans="2:14" x14ac:dyDescent="0.3"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</row>
    <row r="9" spans="2:14" x14ac:dyDescent="0.3"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</row>
    <row r="10" spans="2:14" x14ac:dyDescent="0.3"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</row>
    <row r="11" spans="2:14" x14ac:dyDescent="0.3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</row>
    <row r="12" spans="2:14" x14ac:dyDescent="0.3">
      <c r="B12" s="19"/>
      <c r="C12" s="19"/>
      <c r="D12" s="19"/>
      <c r="E12" s="19"/>
      <c r="F12" s="19"/>
      <c r="G12" s="19"/>
      <c r="H12" s="19"/>
      <c r="I12" s="20"/>
      <c r="J12" s="19"/>
      <c r="K12" s="19"/>
      <c r="L12" s="19"/>
      <c r="M12" s="19"/>
      <c r="N12" s="19"/>
    </row>
    <row r="13" spans="2:14" x14ac:dyDescent="0.3"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</row>
    <row r="14" spans="2:14" x14ac:dyDescent="0.3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</row>
    <row r="15" spans="2:14" x14ac:dyDescent="0.3">
      <c r="B15" s="19"/>
      <c r="C15" s="19"/>
      <c r="D15" s="19"/>
      <c r="E15" s="19"/>
      <c r="F15" s="20"/>
      <c r="G15" s="20"/>
      <c r="H15" s="20"/>
      <c r="I15" s="20"/>
      <c r="J15" s="19"/>
      <c r="K15" s="19"/>
      <c r="L15" s="19"/>
      <c r="M15" s="19"/>
      <c r="N15" s="19"/>
    </row>
    <row r="18" spans="4:4" x14ac:dyDescent="0.3">
      <c r="D18" s="21" t="s">
        <v>77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mdValidateButt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160020</xdr:rowOff>
              </from>
              <to>
                <xdr:col>8</xdr:col>
                <xdr:colOff>365760</xdr:colOff>
                <xdr:row>10</xdr:row>
                <xdr:rowOff>167640</xdr:rowOff>
              </to>
            </anchor>
          </controlPr>
        </control>
      </mc:Choice>
      <mc:Fallback>
        <control shapeId="25602" r:id="rId4" name="cmdValida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3DA12-5314-443A-8F5B-6CD58A21AB88}">
  <sheetPr codeName="Sheet43"/>
  <dimension ref="A1:AC18"/>
  <sheetViews>
    <sheetView workbookViewId="0">
      <selection activeCell="E21" sqref="E21"/>
    </sheetView>
  </sheetViews>
  <sheetFormatPr defaultRowHeight="14.4" x14ac:dyDescent="0.3"/>
  <sheetData>
    <row r="1" spans="1:29" x14ac:dyDescent="0.3">
      <c r="A1" s="23" t="s">
        <v>20</v>
      </c>
      <c r="B1" s="23" t="s">
        <v>21</v>
      </c>
      <c r="C1" s="23" t="s">
        <v>22</v>
      </c>
      <c r="D1" s="23" t="s">
        <v>23</v>
      </c>
      <c r="E1" s="23" t="s">
        <v>2</v>
      </c>
      <c r="F1" s="23" t="s">
        <v>24</v>
      </c>
      <c r="G1" s="23" t="s">
        <v>25</v>
      </c>
      <c r="H1" s="23" t="s">
        <v>26</v>
      </c>
      <c r="I1" s="23" t="s">
        <v>27</v>
      </c>
      <c r="J1" s="23" t="s">
        <v>28</v>
      </c>
      <c r="K1" s="23" t="s">
        <v>29</v>
      </c>
      <c r="L1" s="23" t="s">
        <v>30</v>
      </c>
      <c r="M1" s="23" t="s">
        <v>31</v>
      </c>
      <c r="N1" s="23" t="s">
        <v>32</v>
      </c>
      <c r="O1" s="23" t="s">
        <v>33</v>
      </c>
      <c r="P1" s="23" t="s">
        <v>34</v>
      </c>
      <c r="Q1" s="23" t="s">
        <v>35</v>
      </c>
      <c r="R1" s="23" t="s">
        <v>36</v>
      </c>
      <c r="S1" s="23" t="s">
        <v>37</v>
      </c>
      <c r="T1" s="23" t="s">
        <v>38</v>
      </c>
      <c r="U1" s="23" t="s">
        <v>39</v>
      </c>
      <c r="V1" s="23" t="s">
        <v>40</v>
      </c>
      <c r="W1" s="23" t="s">
        <v>41</v>
      </c>
      <c r="X1" s="23" t="s">
        <v>42</v>
      </c>
      <c r="Y1" s="23" t="s">
        <v>43</v>
      </c>
      <c r="Z1" s="23" t="s">
        <v>44</v>
      </c>
      <c r="AA1" s="23" t="s">
        <v>45</v>
      </c>
      <c r="AB1" s="23" t="s">
        <v>46</v>
      </c>
      <c r="AC1" s="23" t="s">
        <v>47</v>
      </c>
    </row>
    <row r="2" spans="1:29" x14ac:dyDescent="0.3">
      <c r="A2" s="24" t="s">
        <v>78</v>
      </c>
      <c r="B2" s="24" t="s">
        <v>79</v>
      </c>
      <c r="C2" s="24" t="s">
        <v>51</v>
      </c>
      <c r="D2" s="24" t="s">
        <v>80</v>
      </c>
      <c r="E2" s="24" t="s">
        <v>52</v>
      </c>
      <c r="F2" s="24" t="s">
        <v>51</v>
      </c>
      <c r="G2" s="25">
        <v>43963</v>
      </c>
      <c r="H2" s="24" t="s">
        <v>81</v>
      </c>
      <c r="I2" s="24">
        <v>268.01</v>
      </c>
      <c r="J2" s="24" t="s">
        <v>82</v>
      </c>
      <c r="K2" s="24" t="s">
        <v>83</v>
      </c>
      <c r="L2" s="24" t="s">
        <v>51</v>
      </c>
      <c r="M2" s="24" t="s">
        <v>51</v>
      </c>
      <c r="N2" s="24" t="s">
        <v>51</v>
      </c>
      <c r="O2" s="24" t="s">
        <v>51</v>
      </c>
      <c r="P2" s="24" t="s">
        <v>53</v>
      </c>
      <c r="Q2" s="24" t="s">
        <v>51</v>
      </c>
      <c r="R2" s="24" t="s">
        <v>51</v>
      </c>
      <c r="S2" s="24" t="s">
        <v>84</v>
      </c>
      <c r="T2" s="24">
        <v>43965.698020833333</v>
      </c>
      <c r="U2" s="24"/>
      <c r="V2" s="24" t="s">
        <v>8</v>
      </c>
      <c r="W2" s="24"/>
      <c r="X2" s="24"/>
      <c r="Y2" s="24"/>
      <c r="Z2" s="24"/>
      <c r="AA2" s="24" t="str">
        <f>IF(OR(E2="Completed", E2="Duplicate",  E2="Already in Careview"), "Y", (IF(E2="Query", "", "N")))</f>
        <v>N</v>
      </c>
      <c r="AB2" s="26" t="str">
        <f>IF(OR(E2="Query", E2="In Queue"), "", ("5/23/2020 11:47:12 PM"))</f>
        <v/>
      </c>
      <c r="AC2" s="24" t="s">
        <v>174</v>
      </c>
    </row>
    <row r="3" spans="1:29" x14ac:dyDescent="0.3">
      <c r="A3" s="24" t="s">
        <v>85</v>
      </c>
      <c r="B3" s="24" t="s">
        <v>86</v>
      </c>
      <c r="C3" s="24" t="s">
        <v>51</v>
      </c>
      <c r="D3" s="24" t="s">
        <v>87</v>
      </c>
      <c r="E3" s="24" t="s">
        <v>52</v>
      </c>
      <c r="F3" s="24" t="s">
        <v>51</v>
      </c>
      <c r="G3" s="25">
        <v>43964</v>
      </c>
      <c r="H3" s="24" t="s">
        <v>57</v>
      </c>
      <c r="I3" s="24">
        <v>729</v>
      </c>
      <c r="J3" s="24" t="s">
        <v>88</v>
      </c>
      <c r="K3" s="24" t="s">
        <v>89</v>
      </c>
      <c r="L3" s="24" t="s">
        <v>51</v>
      </c>
      <c r="M3" s="24" t="s">
        <v>51</v>
      </c>
      <c r="N3" s="24" t="s">
        <v>90</v>
      </c>
      <c r="O3" s="24" t="s">
        <v>51</v>
      </c>
      <c r="P3" s="24" t="s">
        <v>53</v>
      </c>
      <c r="Q3" s="24" t="s">
        <v>51</v>
      </c>
      <c r="R3" s="24" t="s">
        <v>51</v>
      </c>
      <c r="S3" s="24" t="s">
        <v>91</v>
      </c>
      <c r="T3" s="24">
        <v>43965.663993055554</v>
      </c>
      <c r="U3" s="24"/>
      <c r="V3" s="24" t="s">
        <v>8</v>
      </c>
      <c r="W3" s="24"/>
      <c r="X3" s="24"/>
      <c r="Y3" s="24"/>
      <c r="Z3" s="24"/>
      <c r="AA3" s="24" t="str">
        <f>IF(OR(E3="Completed", E3="Duplicate",  E3="Already in Careview"), "Y", (IF(E3="Query", "", "N")))</f>
        <v>N</v>
      </c>
      <c r="AB3" s="26" t="str">
        <f>IF(OR(E3="Query", E3="In Queue"), "", ("5/23/2020 11:47:12 PM"))</f>
        <v/>
      </c>
      <c r="AC3" s="24" t="s">
        <v>174</v>
      </c>
    </row>
    <row r="4" spans="1:29" x14ac:dyDescent="0.3">
      <c r="A4" s="24" t="s">
        <v>92</v>
      </c>
      <c r="B4" s="24" t="s">
        <v>93</v>
      </c>
      <c r="C4" s="24" t="s">
        <v>51</v>
      </c>
      <c r="D4" s="24" t="s">
        <v>94</v>
      </c>
      <c r="E4" s="24" t="s">
        <v>52</v>
      </c>
      <c r="F4" s="24" t="s">
        <v>51</v>
      </c>
      <c r="G4" s="25">
        <v>43965</v>
      </c>
      <c r="H4" s="24" t="s">
        <v>95</v>
      </c>
      <c r="I4" s="24">
        <v>90</v>
      </c>
      <c r="J4" s="24" t="s">
        <v>96</v>
      </c>
      <c r="K4" s="24" t="s">
        <v>97</v>
      </c>
      <c r="L4" s="24" t="s">
        <v>51</v>
      </c>
      <c r="M4" s="24" t="s">
        <v>51</v>
      </c>
      <c r="N4" s="24" t="s">
        <v>51</v>
      </c>
      <c r="O4" s="24" t="s">
        <v>51</v>
      </c>
      <c r="P4" s="24" t="s">
        <v>53</v>
      </c>
      <c r="Q4" s="24" t="s">
        <v>51</v>
      </c>
      <c r="R4" s="24">
        <v>43965.668449074074</v>
      </c>
      <c r="S4" s="24" t="s">
        <v>98</v>
      </c>
      <c r="T4" s="24">
        <v>43965.665254629625</v>
      </c>
      <c r="U4" s="24"/>
      <c r="V4" s="24" t="s">
        <v>8</v>
      </c>
      <c r="W4" s="24"/>
      <c r="X4" s="24"/>
      <c r="Y4" s="24"/>
      <c r="Z4" s="24"/>
      <c r="AA4" s="24" t="str">
        <f>IF(OR(E4="Completed", E4="Duplicate",  E4="Already in Careview"), "Y", (IF(E4="Query", "", "N")))</f>
        <v>N</v>
      </c>
      <c r="AB4" s="26" t="str">
        <f>IF(OR(E4="Query", E4="In Queue"), "", ("5/23/2020 11:47:12 PM"))</f>
        <v/>
      </c>
      <c r="AC4" s="24" t="s">
        <v>174</v>
      </c>
    </row>
    <row r="5" spans="1:29" x14ac:dyDescent="0.3">
      <c r="A5" s="24" t="s">
        <v>99</v>
      </c>
      <c r="B5" s="24" t="s">
        <v>100</v>
      </c>
      <c r="C5" s="24" t="s">
        <v>51</v>
      </c>
      <c r="D5" s="24" t="s">
        <v>101</v>
      </c>
      <c r="E5" s="24" t="s">
        <v>52</v>
      </c>
      <c r="F5" s="24" t="s">
        <v>51</v>
      </c>
      <c r="G5" s="25">
        <v>43963</v>
      </c>
      <c r="H5" s="24" t="s">
        <v>102</v>
      </c>
      <c r="I5" s="24">
        <v>200</v>
      </c>
      <c r="J5" s="24" t="s">
        <v>103</v>
      </c>
      <c r="K5" s="24" t="s">
        <v>104</v>
      </c>
      <c r="L5" s="24" t="s">
        <v>51</v>
      </c>
      <c r="M5" s="24" t="s">
        <v>51</v>
      </c>
      <c r="N5" s="24" t="s">
        <v>51</v>
      </c>
      <c r="O5" s="24" t="s">
        <v>51</v>
      </c>
      <c r="P5" s="24" t="s">
        <v>53</v>
      </c>
      <c r="Q5" s="24" t="s">
        <v>51</v>
      </c>
      <c r="R5" s="24" t="s">
        <v>51</v>
      </c>
      <c r="S5" s="24" t="s">
        <v>105</v>
      </c>
      <c r="T5" s="24">
        <v>43965.662893518514</v>
      </c>
      <c r="U5" s="24"/>
      <c r="V5" s="24" t="s">
        <v>8</v>
      </c>
      <c r="W5" s="24"/>
      <c r="X5" s="24"/>
      <c r="Y5" s="24"/>
      <c r="Z5" s="24"/>
      <c r="AA5" s="24" t="str">
        <f>IF(OR(E5="Completed", E5="Duplicate",  E5="Already in Careview"), "Y", (IF(E5="Query", "", "N")))</f>
        <v>N</v>
      </c>
      <c r="AB5" s="26" t="str">
        <f>IF(OR(E5="Query", E5="In Queue"), "", ("5/23/2020 11:47:12 PM"))</f>
        <v/>
      </c>
      <c r="AC5" s="24" t="s">
        <v>174</v>
      </c>
    </row>
    <row r="6" spans="1:29" x14ac:dyDescent="0.3">
      <c r="A6" s="24" t="s">
        <v>54</v>
      </c>
      <c r="B6" s="24" t="s">
        <v>55</v>
      </c>
      <c r="C6" s="24" t="s">
        <v>51</v>
      </c>
      <c r="D6" s="24" t="s">
        <v>56</v>
      </c>
      <c r="E6" s="24" t="s">
        <v>61</v>
      </c>
      <c r="F6" s="24" t="s">
        <v>62</v>
      </c>
      <c r="G6" s="25">
        <v>43965</v>
      </c>
      <c r="H6" s="24" t="s">
        <v>57</v>
      </c>
      <c r="I6" s="24">
        <v>848</v>
      </c>
      <c r="J6" s="24" t="s">
        <v>58</v>
      </c>
      <c r="K6" s="24" t="s">
        <v>59</v>
      </c>
      <c r="L6" s="24" t="s">
        <v>51</v>
      </c>
      <c r="M6" s="24"/>
      <c r="N6" s="24" t="s">
        <v>51</v>
      </c>
      <c r="O6" s="24" t="s">
        <v>51</v>
      </c>
      <c r="P6" s="24" t="s">
        <v>53</v>
      </c>
      <c r="Q6" s="24" t="s">
        <v>51</v>
      </c>
      <c r="R6" s="24" t="s">
        <v>51</v>
      </c>
      <c r="S6" s="24" t="s">
        <v>60</v>
      </c>
      <c r="T6" s="24">
        <v>43965.661365740743</v>
      </c>
      <c r="U6" s="24"/>
      <c r="V6" s="24" t="s">
        <v>8</v>
      </c>
      <c r="W6" s="24"/>
      <c r="X6" s="24"/>
      <c r="Y6" s="24"/>
      <c r="Z6" s="24"/>
      <c r="AA6" s="24" t="str">
        <f>IF(OR(E6="Completed", E6="Duplicate",  E6="Already in Careview"), "Y", (IF(E6="Query", "", "N")))</f>
        <v/>
      </c>
      <c r="AB6" s="26" t="str">
        <f>IF(OR(E6="Query", E6="In Queue"), "", ("5/23/2020 11:47:12 PM"))</f>
        <v/>
      </c>
      <c r="AC6" s="24" t="s">
        <v>175</v>
      </c>
    </row>
    <row r="7" spans="1:29" x14ac:dyDescent="0.3">
      <c r="A7" s="24" t="s">
        <v>106</v>
      </c>
      <c r="B7" s="24" t="s">
        <v>107</v>
      </c>
      <c r="C7" s="24" t="s">
        <v>51</v>
      </c>
      <c r="D7" s="24" t="s">
        <v>108</v>
      </c>
      <c r="E7" s="24" t="s">
        <v>52</v>
      </c>
      <c r="F7" s="24" t="s">
        <v>51</v>
      </c>
      <c r="G7" s="25">
        <v>43965</v>
      </c>
      <c r="H7" s="24" t="s">
        <v>109</v>
      </c>
      <c r="I7" s="24">
        <v>105</v>
      </c>
      <c r="J7" s="24" t="s">
        <v>110</v>
      </c>
      <c r="K7" s="24" t="s">
        <v>111</v>
      </c>
      <c r="L7" s="24" t="s">
        <v>51</v>
      </c>
      <c r="M7" s="24" t="s">
        <v>51</v>
      </c>
      <c r="N7" s="24" t="s">
        <v>51</v>
      </c>
      <c r="O7" s="24" t="s">
        <v>51</v>
      </c>
      <c r="P7" s="24" t="s">
        <v>53</v>
      </c>
      <c r="Q7" s="24" t="s">
        <v>51</v>
      </c>
      <c r="R7" s="24">
        <v>43965.661550925928</v>
      </c>
      <c r="S7" s="24" t="s">
        <v>112</v>
      </c>
      <c r="T7" s="24">
        <v>43965.659895833334</v>
      </c>
      <c r="U7" s="24"/>
      <c r="V7" s="24" t="s">
        <v>8</v>
      </c>
      <c r="W7" s="24"/>
      <c r="X7" s="24"/>
      <c r="Y7" s="24"/>
      <c r="Z7" s="24"/>
      <c r="AA7" s="24" t="str">
        <f>IF(OR(E7="Completed", E7="Duplicate",  E7="Already in Careview"), "Y", (IF(E7="Query", "", "N")))</f>
        <v>N</v>
      </c>
      <c r="AB7" s="26" t="str">
        <f>IF(OR(E7="Query", E7="In Queue"), "", ("5/23/2020 11:47:12 PM"))</f>
        <v/>
      </c>
      <c r="AC7" s="24" t="s">
        <v>174</v>
      </c>
    </row>
    <row r="8" spans="1:29" x14ac:dyDescent="0.3">
      <c r="A8" s="24" t="s">
        <v>113</v>
      </c>
      <c r="B8" s="24" t="s">
        <v>114</v>
      </c>
      <c r="C8" s="24" t="s">
        <v>51</v>
      </c>
      <c r="D8" s="24" t="s">
        <v>115</v>
      </c>
      <c r="E8" s="24" t="s">
        <v>52</v>
      </c>
      <c r="F8" s="24" t="s">
        <v>51</v>
      </c>
      <c r="G8" s="25">
        <v>43965</v>
      </c>
      <c r="H8" s="24" t="s">
        <v>116</v>
      </c>
      <c r="I8" s="24">
        <v>98.06</v>
      </c>
      <c r="J8" s="24" t="s">
        <v>117</v>
      </c>
      <c r="K8" s="24" t="s">
        <v>118</v>
      </c>
      <c r="L8" s="24" t="s">
        <v>51</v>
      </c>
      <c r="M8" s="24" t="s">
        <v>51</v>
      </c>
      <c r="N8" s="24" t="s">
        <v>51</v>
      </c>
      <c r="O8" s="24" t="s">
        <v>51</v>
      </c>
      <c r="P8" s="24" t="s">
        <v>53</v>
      </c>
      <c r="Q8" s="24" t="s">
        <v>51</v>
      </c>
      <c r="R8" s="24" t="s">
        <v>51</v>
      </c>
      <c r="S8" s="24" t="s">
        <v>119</v>
      </c>
      <c r="T8" s="24">
        <v>43965.659282407403</v>
      </c>
      <c r="U8" s="24"/>
      <c r="V8" s="24" t="s">
        <v>8</v>
      </c>
      <c r="W8" s="24"/>
      <c r="X8" s="24"/>
      <c r="Y8" s="24"/>
      <c r="Z8" s="24"/>
      <c r="AA8" s="24" t="str">
        <f>IF(OR(E8="Completed", E8="Duplicate",  E8="Already in Careview"), "Y", (IF(E8="Query", "", "N")))</f>
        <v>N</v>
      </c>
      <c r="AB8" s="26" t="str">
        <f>IF(OR(E8="Query", E8="In Queue"), "", ("5/23/2020 11:47:12 PM"))</f>
        <v/>
      </c>
      <c r="AC8" s="24" t="s">
        <v>174</v>
      </c>
    </row>
    <row r="9" spans="1:29" x14ac:dyDescent="0.3">
      <c r="A9" s="24" t="s">
        <v>120</v>
      </c>
      <c r="B9" s="24" t="s">
        <v>121</v>
      </c>
      <c r="C9" s="24" t="s">
        <v>51</v>
      </c>
      <c r="D9" s="24" t="s">
        <v>122</v>
      </c>
      <c r="E9" s="24" t="s">
        <v>52</v>
      </c>
      <c r="F9" s="24" t="s">
        <v>51</v>
      </c>
      <c r="G9" s="25">
        <v>43814</v>
      </c>
      <c r="H9" s="24" t="s">
        <v>123</v>
      </c>
      <c r="I9" s="24">
        <v>899.64</v>
      </c>
      <c r="J9" s="24" t="s">
        <v>124</v>
      </c>
      <c r="K9" s="24" t="s">
        <v>125</v>
      </c>
      <c r="L9" s="24" t="s">
        <v>51</v>
      </c>
      <c r="M9" s="24" t="s">
        <v>51</v>
      </c>
      <c r="N9" s="24" t="s">
        <v>51</v>
      </c>
      <c r="O9" s="24" t="s">
        <v>51</v>
      </c>
      <c r="P9" s="24" t="s">
        <v>53</v>
      </c>
      <c r="Q9" s="24" t="s">
        <v>51</v>
      </c>
      <c r="R9" s="24" t="s">
        <v>51</v>
      </c>
      <c r="S9" s="24" t="s">
        <v>126</v>
      </c>
      <c r="T9" s="24">
        <v>43965.656365740739</v>
      </c>
      <c r="U9" s="24"/>
      <c r="V9" s="24" t="s">
        <v>8</v>
      </c>
      <c r="W9" s="24"/>
      <c r="X9" s="24"/>
      <c r="Y9" s="24"/>
      <c r="Z9" s="24"/>
      <c r="AA9" s="24" t="str">
        <f>IF(OR(E9="Completed", E9="Duplicate",  E9="Already in Careview"), "Y", (IF(E9="Query", "", "N")))</f>
        <v>N</v>
      </c>
      <c r="AB9" s="26" t="str">
        <f>IF(OR(E9="Query", E9="In Queue"), "", ("5/23/2020 11:47:12 PM"))</f>
        <v/>
      </c>
      <c r="AC9" s="24" t="s">
        <v>174</v>
      </c>
    </row>
    <row r="10" spans="1:29" x14ac:dyDescent="0.3">
      <c r="A10" s="24" t="s">
        <v>127</v>
      </c>
      <c r="B10" s="24" t="s">
        <v>128</v>
      </c>
      <c r="C10" s="24" t="s">
        <v>51</v>
      </c>
      <c r="D10" s="24" t="s">
        <v>129</v>
      </c>
      <c r="E10" s="24" t="s">
        <v>52</v>
      </c>
      <c r="F10" s="24" t="s">
        <v>51</v>
      </c>
      <c r="G10" s="25">
        <v>43954</v>
      </c>
      <c r="H10" s="24" t="s">
        <v>130</v>
      </c>
      <c r="I10" s="24">
        <v>1229.95</v>
      </c>
      <c r="J10" s="24" t="s">
        <v>131</v>
      </c>
      <c r="K10" s="24" t="s">
        <v>132</v>
      </c>
      <c r="L10" s="24" t="s">
        <v>51</v>
      </c>
      <c r="M10" s="24" t="s">
        <v>51</v>
      </c>
      <c r="N10" s="24" t="s">
        <v>51</v>
      </c>
      <c r="O10" s="24" t="s">
        <v>51</v>
      </c>
      <c r="P10" s="24" t="s">
        <v>53</v>
      </c>
      <c r="Q10" s="24" t="s">
        <v>51</v>
      </c>
      <c r="R10" s="24" t="s">
        <v>51</v>
      </c>
      <c r="S10" s="24" t="s">
        <v>133</v>
      </c>
      <c r="T10" s="24">
        <v>43965.651770833334</v>
      </c>
      <c r="U10" s="24"/>
      <c r="V10" s="24" t="s">
        <v>8</v>
      </c>
      <c r="W10" s="24"/>
      <c r="X10" s="24"/>
      <c r="Y10" s="24"/>
      <c r="Z10" s="24"/>
      <c r="AA10" s="24" t="str">
        <f>IF(OR(E10="Completed", E10="Duplicate",  E10="Already in Careview"), "Y", (IF(E10="Query", "", "N")))</f>
        <v>N</v>
      </c>
      <c r="AB10" s="26" t="str">
        <f>IF(OR(E10="Query", E10="In Queue"), "", ("5/23/2020 11:47:12 PM"))</f>
        <v/>
      </c>
      <c r="AC10" s="24" t="s">
        <v>174</v>
      </c>
    </row>
    <row r="11" spans="1:29" x14ac:dyDescent="0.3">
      <c r="A11" s="24" t="s">
        <v>134</v>
      </c>
      <c r="B11" s="24" t="s">
        <v>135</v>
      </c>
      <c r="C11" s="24" t="s">
        <v>51</v>
      </c>
      <c r="D11" s="24" t="s">
        <v>136</v>
      </c>
      <c r="E11" s="24" t="s">
        <v>52</v>
      </c>
      <c r="F11" s="24" t="s">
        <v>51</v>
      </c>
      <c r="G11" s="25">
        <v>43954</v>
      </c>
      <c r="H11" s="24" t="s">
        <v>130</v>
      </c>
      <c r="I11" s="24">
        <v>8845.81</v>
      </c>
      <c r="J11" s="24" t="s">
        <v>137</v>
      </c>
      <c r="K11" s="24" t="s">
        <v>138</v>
      </c>
      <c r="L11" s="24" t="s">
        <v>51</v>
      </c>
      <c r="M11" s="24" t="s">
        <v>51</v>
      </c>
      <c r="N11" s="24" t="s">
        <v>51</v>
      </c>
      <c r="O11" s="24" t="s">
        <v>51</v>
      </c>
      <c r="P11" s="24" t="s">
        <v>53</v>
      </c>
      <c r="Q11" s="24" t="s">
        <v>51</v>
      </c>
      <c r="R11" s="24" t="s">
        <v>51</v>
      </c>
      <c r="S11" s="24" t="s">
        <v>139</v>
      </c>
      <c r="T11" s="24">
        <v>43965.65079861111</v>
      </c>
      <c r="U11" s="24"/>
      <c r="V11" s="24" t="s">
        <v>8</v>
      </c>
      <c r="W11" s="24"/>
      <c r="X11" s="24"/>
      <c r="Y11" s="24"/>
      <c r="Z11" s="24"/>
      <c r="AA11" s="24" t="str">
        <f>IF(OR(E11="Completed", E11="Duplicate",  E11="Already in Careview"), "Y", (IF(E11="Query", "", "N")))</f>
        <v>N</v>
      </c>
      <c r="AB11" s="26" t="str">
        <f>IF(OR(E11="Query", E11="In Queue"), "", ("5/23/2020 11:47:12 PM"))</f>
        <v/>
      </c>
      <c r="AC11" s="24" t="s">
        <v>174</v>
      </c>
    </row>
    <row r="12" spans="1:29" x14ac:dyDescent="0.3">
      <c r="A12" s="24" t="s">
        <v>63</v>
      </c>
      <c r="B12" s="24" t="s">
        <v>64</v>
      </c>
      <c r="C12" s="24" t="s">
        <v>51</v>
      </c>
      <c r="D12" s="24" t="s">
        <v>65</v>
      </c>
      <c r="E12" s="24" t="s">
        <v>52</v>
      </c>
      <c r="F12" s="24" t="s">
        <v>51</v>
      </c>
      <c r="G12" s="25">
        <v>43965</v>
      </c>
      <c r="H12" s="24" t="s">
        <v>66</v>
      </c>
      <c r="I12" s="24">
        <v>232.56</v>
      </c>
      <c r="J12" s="24" t="s">
        <v>67</v>
      </c>
      <c r="K12" s="24" t="s">
        <v>68</v>
      </c>
      <c r="L12" s="24" t="s">
        <v>51</v>
      </c>
      <c r="M12" s="24" t="s">
        <v>51</v>
      </c>
      <c r="N12" s="24" t="s">
        <v>51</v>
      </c>
      <c r="O12" s="24" t="s">
        <v>51</v>
      </c>
      <c r="P12" s="24" t="s">
        <v>53</v>
      </c>
      <c r="Q12" s="24" t="s">
        <v>51</v>
      </c>
      <c r="R12" s="24" t="s">
        <v>51</v>
      </c>
      <c r="S12" s="24" t="s">
        <v>69</v>
      </c>
      <c r="T12" s="24">
        <v>43965.640717592592</v>
      </c>
      <c r="U12" s="24"/>
      <c r="V12" s="24" t="s">
        <v>8</v>
      </c>
      <c r="W12" s="24"/>
      <c r="X12" s="24"/>
      <c r="Y12" s="24"/>
      <c r="Z12" s="24"/>
      <c r="AA12" s="24" t="str">
        <f>IF(OR(E12="Completed", E12="Duplicate",  E12="Already in Careview"), "Y", (IF(E12="Query", "", "N")))</f>
        <v>N</v>
      </c>
      <c r="AB12" s="26" t="str">
        <f>IF(OR(E12="Query", E12="In Queue"), "", ("5/23/2020 11:47:12 PM"))</f>
        <v/>
      </c>
      <c r="AC12" s="24" t="s">
        <v>174</v>
      </c>
    </row>
    <row r="13" spans="1:29" x14ac:dyDescent="0.3">
      <c r="A13" s="24" t="s">
        <v>140</v>
      </c>
      <c r="B13" s="24" t="s">
        <v>141</v>
      </c>
      <c r="C13" s="24" t="s">
        <v>51</v>
      </c>
      <c r="D13" s="24" t="s">
        <v>142</v>
      </c>
      <c r="E13" s="24" t="s">
        <v>52</v>
      </c>
      <c r="F13" s="24" t="s">
        <v>51</v>
      </c>
      <c r="G13" s="25">
        <v>43951</v>
      </c>
      <c r="H13" s="24" t="s">
        <v>143</v>
      </c>
      <c r="I13" s="24">
        <v>209</v>
      </c>
      <c r="J13" s="24" t="s">
        <v>144</v>
      </c>
      <c r="K13" s="24" t="s">
        <v>145</v>
      </c>
      <c r="L13" s="24" t="s">
        <v>51</v>
      </c>
      <c r="M13" s="24" t="s">
        <v>51</v>
      </c>
      <c r="N13" s="24" t="s">
        <v>146</v>
      </c>
      <c r="O13" s="24" t="s">
        <v>51</v>
      </c>
      <c r="P13" s="24" t="s">
        <v>53</v>
      </c>
      <c r="Q13" s="24" t="s">
        <v>51</v>
      </c>
      <c r="R13" s="24" t="s">
        <v>51</v>
      </c>
      <c r="S13" s="24" t="s">
        <v>147</v>
      </c>
      <c r="T13" s="24">
        <v>43965.639780092592</v>
      </c>
      <c r="U13" s="24"/>
      <c r="V13" s="24" t="s">
        <v>8</v>
      </c>
      <c r="W13" s="24"/>
      <c r="X13" s="24"/>
      <c r="Y13" s="24"/>
      <c r="Z13" s="24"/>
      <c r="AA13" s="24" t="str">
        <f>IF(OR(E13="Completed", E13="Duplicate",  E13="Already in Careview"), "Y", (IF(E13="Query", "", "N")))</f>
        <v>N</v>
      </c>
      <c r="AB13" s="26" t="str">
        <f>IF(OR(E13="Query", E13="In Queue"), "", ("5/23/2020 11:47:12 PM"))</f>
        <v/>
      </c>
      <c r="AC13" s="24" t="s">
        <v>174</v>
      </c>
    </row>
    <row r="14" spans="1:29" x14ac:dyDescent="0.3">
      <c r="A14" s="24" t="s">
        <v>148</v>
      </c>
      <c r="B14" s="24" t="s">
        <v>149</v>
      </c>
      <c r="C14" s="24" t="s">
        <v>51</v>
      </c>
      <c r="D14" s="24" t="s">
        <v>150</v>
      </c>
      <c r="E14" s="24" t="s">
        <v>52</v>
      </c>
      <c r="F14" s="24" t="s">
        <v>51</v>
      </c>
      <c r="G14" s="25">
        <v>43963</v>
      </c>
      <c r="H14" s="24" t="s">
        <v>57</v>
      </c>
      <c r="I14" s="24">
        <v>102.28</v>
      </c>
      <c r="J14" s="24" t="s">
        <v>151</v>
      </c>
      <c r="K14" s="24" t="s">
        <v>152</v>
      </c>
      <c r="L14" s="24" t="s">
        <v>51</v>
      </c>
      <c r="M14" s="24" t="s">
        <v>51</v>
      </c>
      <c r="N14" s="24" t="s">
        <v>153</v>
      </c>
      <c r="O14" s="24" t="s">
        <v>51</v>
      </c>
      <c r="P14" s="24" t="s">
        <v>53</v>
      </c>
      <c r="Q14" s="24" t="s">
        <v>51</v>
      </c>
      <c r="R14" s="24" t="s">
        <v>51</v>
      </c>
      <c r="S14" s="24" t="s">
        <v>154</v>
      </c>
      <c r="T14" s="24">
        <v>43965.633703703701</v>
      </c>
      <c r="U14" s="24"/>
      <c r="V14" s="24" t="s">
        <v>8</v>
      </c>
      <c r="W14" s="24"/>
      <c r="X14" s="24"/>
      <c r="Y14" s="24"/>
      <c r="Z14" s="24"/>
      <c r="AA14" s="24" t="str">
        <f>IF(OR(E14="Completed", E14="Duplicate",  E14="Already in Careview"), "Y", (IF(E14="Query", "", "N")))</f>
        <v>N</v>
      </c>
      <c r="AB14" s="26" t="str">
        <f>IF(OR(E14="Query", E14="In Queue"), "", ("5/23/2020 11:47:12 PM"))</f>
        <v/>
      </c>
      <c r="AC14" s="24" t="s">
        <v>174</v>
      </c>
    </row>
    <row r="15" spans="1:29" x14ac:dyDescent="0.3">
      <c r="A15" s="24" t="s">
        <v>155</v>
      </c>
      <c r="B15" s="24" t="s">
        <v>156</v>
      </c>
      <c r="C15" s="24" t="s">
        <v>51</v>
      </c>
      <c r="D15" s="24" t="s">
        <v>157</v>
      </c>
      <c r="E15" s="24" t="s">
        <v>52</v>
      </c>
      <c r="F15" s="24" t="s">
        <v>51</v>
      </c>
      <c r="G15" s="25">
        <v>43965</v>
      </c>
      <c r="H15" s="24" t="s">
        <v>158</v>
      </c>
      <c r="I15" s="24">
        <v>74.3</v>
      </c>
      <c r="J15" s="24" t="s">
        <v>159</v>
      </c>
      <c r="K15" s="24" t="s">
        <v>160</v>
      </c>
      <c r="L15" s="24" t="s">
        <v>51</v>
      </c>
      <c r="M15" s="24" t="s">
        <v>51</v>
      </c>
      <c r="N15" s="24" t="s">
        <v>51</v>
      </c>
      <c r="O15" s="24" t="s">
        <v>51</v>
      </c>
      <c r="P15" s="24" t="s">
        <v>53</v>
      </c>
      <c r="Q15" s="24" t="s">
        <v>51</v>
      </c>
      <c r="R15" s="24" t="s">
        <v>51</v>
      </c>
      <c r="S15" s="24" t="s">
        <v>161</v>
      </c>
      <c r="T15" s="24">
        <v>43965.631666666668</v>
      </c>
      <c r="U15" s="24"/>
      <c r="V15" s="24" t="s">
        <v>8</v>
      </c>
      <c r="W15" s="24"/>
      <c r="X15" s="24"/>
      <c r="Y15" s="24"/>
      <c r="Z15" s="24"/>
      <c r="AA15" s="24" t="str">
        <f>IF(OR(E15="Completed", E15="Duplicate",  E15="Already in Careview"), "Y", (IF(E15="Query", "", "N")))</f>
        <v>N</v>
      </c>
      <c r="AB15" s="26" t="str">
        <f>IF(OR(E15="Query", E15="In Queue"), "", ("5/23/2020 11:47:12 PM"))</f>
        <v/>
      </c>
      <c r="AC15" s="24" t="s">
        <v>174</v>
      </c>
    </row>
    <row r="16" spans="1:29" x14ac:dyDescent="0.3">
      <c r="A16" s="24" t="s">
        <v>162</v>
      </c>
      <c r="B16" s="24" t="s">
        <v>163</v>
      </c>
      <c r="C16" s="24" t="s">
        <v>51</v>
      </c>
      <c r="D16" s="24" t="s">
        <v>164</v>
      </c>
      <c r="E16" s="24" t="s">
        <v>52</v>
      </c>
      <c r="F16" s="24" t="s">
        <v>51</v>
      </c>
      <c r="G16" s="25">
        <v>43965</v>
      </c>
      <c r="H16" s="24" t="s">
        <v>57</v>
      </c>
      <c r="I16" s="24">
        <v>21.99</v>
      </c>
      <c r="J16" s="24" t="s">
        <v>165</v>
      </c>
      <c r="K16" s="24" t="s">
        <v>166</v>
      </c>
      <c r="L16" s="24" t="s">
        <v>51</v>
      </c>
      <c r="M16" s="24" t="s">
        <v>51</v>
      </c>
      <c r="N16" s="24" t="s">
        <v>51</v>
      </c>
      <c r="O16" s="24" t="s">
        <v>51</v>
      </c>
      <c r="P16" s="24" t="s">
        <v>53</v>
      </c>
      <c r="Q16" s="24" t="s">
        <v>51</v>
      </c>
      <c r="R16" s="24" t="s">
        <v>51</v>
      </c>
      <c r="S16" s="24" t="s">
        <v>167</v>
      </c>
      <c r="T16" s="24">
        <v>43965.630995370375</v>
      </c>
      <c r="U16" s="24"/>
      <c r="V16" s="24" t="s">
        <v>8</v>
      </c>
      <c r="W16" s="24"/>
      <c r="X16" s="24"/>
      <c r="Y16" s="24"/>
      <c r="Z16" s="24"/>
      <c r="AA16" s="24" t="str">
        <f>IF(OR(E16="Completed", E16="Duplicate",  E16="Already in Careview"), "Y", (IF(E16="Query", "", "N")))</f>
        <v>N</v>
      </c>
      <c r="AB16" s="26" t="str">
        <f>IF(OR(E16="Query", E16="In Queue"), "", ("5/23/2020 11:47:12 PM"))</f>
        <v/>
      </c>
      <c r="AC16" s="24" t="s">
        <v>174</v>
      </c>
    </row>
    <row r="17" spans="1:29" x14ac:dyDescent="0.3">
      <c r="A17" s="24" t="s">
        <v>168</v>
      </c>
      <c r="B17" s="24" t="s">
        <v>169</v>
      </c>
      <c r="C17" s="24" t="s">
        <v>51</v>
      </c>
      <c r="D17" s="24" t="s">
        <v>170</v>
      </c>
      <c r="E17" s="24" t="s">
        <v>52</v>
      </c>
      <c r="F17" s="24" t="s">
        <v>51</v>
      </c>
      <c r="G17" s="25">
        <v>43965</v>
      </c>
      <c r="H17" s="24" t="s">
        <v>73</v>
      </c>
      <c r="I17" s="24">
        <v>213.39</v>
      </c>
      <c r="J17" s="24" t="s">
        <v>171</v>
      </c>
      <c r="K17" s="24" t="s">
        <v>172</v>
      </c>
      <c r="L17" s="24" t="s">
        <v>51</v>
      </c>
      <c r="M17" s="24" t="s">
        <v>51</v>
      </c>
      <c r="N17" s="24" t="s">
        <v>51</v>
      </c>
      <c r="O17" s="24" t="s">
        <v>51</v>
      </c>
      <c r="P17" s="24" t="s">
        <v>53</v>
      </c>
      <c r="Q17" s="24" t="s">
        <v>51</v>
      </c>
      <c r="R17" s="24">
        <v>43965.696574074071</v>
      </c>
      <c r="S17" s="24" t="s">
        <v>173</v>
      </c>
      <c r="T17" s="24">
        <v>43965.630127314813</v>
      </c>
      <c r="U17" s="24"/>
      <c r="V17" s="24" t="s">
        <v>8</v>
      </c>
      <c r="W17" s="24"/>
      <c r="X17" s="24"/>
      <c r="Y17" s="24"/>
      <c r="Z17" s="24"/>
      <c r="AA17" s="24" t="str">
        <f>IF(OR(E17="Completed", E17="Duplicate",  E17="Already in Careview"), "Y", (IF(E17="Query", "", "N")))</f>
        <v>N</v>
      </c>
      <c r="AB17" s="26" t="str">
        <f>IF(OR(E17="Query", E17="In Queue"), "", ("5/23/2020 11:47:12 PM"))</f>
        <v/>
      </c>
      <c r="AC17" s="24" t="s">
        <v>174</v>
      </c>
    </row>
    <row r="18" spans="1:29" x14ac:dyDescent="0.3">
      <c r="A18" s="24" t="s">
        <v>70</v>
      </c>
      <c r="B18" s="24" t="s">
        <v>71</v>
      </c>
      <c r="C18" s="24" t="s">
        <v>51</v>
      </c>
      <c r="D18" s="24" t="s">
        <v>72</v>
      </c>
      <c r="E18" s="24" t="s">
        <v>52</v>
      </c>
      <c r="F18" s="24" t="s">
        <v>51</v>
      </c>
      <c r="G18" s="25">
        <v>43965</v>
      </c>
      <c r="H18" s="24" t="s">
        <v>73</v>
      </c>
      <c r="I18" s="24">
        <v>693.52</v>
      </c>
      <c r="J18" s="24" t="s">
        <v>74</v>
      </c>
      <c r="K18" s="24" t="s">
        <v>75</v>
      </c>
      <c r="L18" s="24" t="s">
        <v>51</v>
      </c>
      <c r="M18" s="24" t="s">
        <v>51</v>
      </c>
      <c r="N18" s="24" t="s">
        <v>51</v>
      </c>
      <c r="O18" s="24" t="s">
        <v>51</v>
      </c>
      <c r="P18" s="24" t="s">
        <v>53</v>
      </c>
      <c r="Q18" s="24" t="s">
        <v>51</v>
      </c>
      <c r="R18" s="24" t="s">
        <v>51</v>
      </c>
      <c r="S18" s="24" t="s">
        <v>76</v>
      </c>
      <c r="T18" s="24">
        <v>43965.628692129627</v>
      </c>
      <c r="U18" s="24"/>
      <c r="V18" s="24" t="s">
        <v>8</v>
      </c>
      <c r="W18" s="24"/>
      <c r="X18" s="24"/>
      <c r="Y18" s="24"/>
      <c r="Z18" s="24"/>
      <c r="AA18" s="24" t="str">
        <f>IF(OR(E18="Completed", E18="Duplicate",  E18="Already in Careview"), "Y", (IF(E18="Query", "", "N")))</f>
        <v>N</v>
      </c>
      <c r="AB18" s="26" t="str">
        <f>IF(OR(E18="Query", E18="In Queue"), "", ("5/23/2020 11:47:12 PM"))</f>
        <v/>
      </c>
      <c r="AC18" s="24" t="s">
        <v>174</v>
      </c>
    </row>
  </sheetData>
  <dataValidations count="7">
    <dataValidation type="list" allowBlank="1" showInputMessage="1" showErrorMessage="1" sqref="AA2:AA18 AC2:AC18" xr:uid="{EBA3699E-7348-44CA-814F-E7355EE56E77}">
      <formula1>"N,Y"</formula1>
    </dataValidation>
    <dataValidation type="list" allowBlank="1" showInputMessage="1" showErrorMessage="1" sqref="Z2:Z18" xr:uid="{04A932D1-EC64-4D43-BA44-0B99D3715CED}">
      <formula1>"Very Easy,Easy,Medium,Difficult"</formula1>
    </dataValidation>
    <dataValidation type="list" allowBlank="1" showInputMessage="1" showErrorMessage="1" sqref="X2:X18" xr:uid="{B5BF4175-C5D0-4ACA-9CFC-DD7130D9781B}">
      <formula1>"C,W"</formula1>
    </dataValidation>
    <dataValidation type="list" allowBlank="1" showInputMessage="1" showErrorMessage="1" sqref="W2:W18" xr:uid="{46897CCD-135F-4DEC-A70F-C181DA46DF12}">
      <formula1>"1,2,3,4,5,6,7,8,9"</formula1>
    </dataValidation>
    <dataValidation type="list" allowBlank="1" showInputMessage="1" showErrorMessage="1" sqref="V2:V18" xr:uid="{4A045D4E-BDDD-4F3A-8DA1-E9B0E536C0D1}">
      <formula1>"Gaya001,Abhi002,Diwa003,Swet004,Pras005,Abhi006,Mich007,Ivy008,Vija009,Sura010,Prav011,Sent012,Uma013,Pare014,Tara015"</formula1>
    </dataValidation>
    <dataValidation type="list" allowBlank="1" showInputMessage="1" showErrorMessage="1" sqref="F2:F18" xr:uid="{654586BC-0792-4F6E-BBB6-E25FC669C258}">
      <formula1>"Plan Period,Service date not within contract date,Funding insufficient for plan category,Plan category not allocated,New service/no desc - Active on Code,ABN details mismatch,Insufficient details,New Client awaiting Setup,Statement quotation"</formula1>
    </dataValidation>
    <dataValidation type="list" allowBlank="1" showInputMessage="1" showErrorMessage="1" sqref="E2:E18" xr:uid="{48996870-DB0B-436E-A99C-DA8BF013B960}">
      <formula1>"In Queue,Query,Duplicate,Already in Careview,Completed"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8E17C-5459-4600-BB5E-7064A92737DB}">
  <sheetPr codeName="Sheet6"/>
  <dimension ref="D4:E13"/>
  <sheetViews>
    <sheetView workbookViewId="0">
      <selection activeCell="E22" sqref="E22"/>
    </sheetView>
  </sheetViews>
  <sheetFormatPr defaultRowHeight="14.4" x14ac:dyDescent="0.3"/>
  <cols>
    <col min="4" max="5" width="20.77734375" customWidth="1"/>
  </cols>
  <sheetData>
    <row r="4" spans="4:5" x14ac:dyDescent="0.3">
      <c r="D4" s="22" t="s">
        <v>176</v>
      </c>
      <c r="E4" s="22" t="s">
        <v>8</v>
      </c>
    </row>
    <row r="5" spans="4:5" x14ac:dyDescent="0.3">
      <c r="D5" s="27" t="s">
        <v>177</v>
      </c>
      <c r="E5" s="27" t="s">
        <v>186</v>
      </c>
    </row>
    <row r="6" spans="4:5" x14ac:dyDescent="0.3">
      <c r="D6" s="27" t="s">
        <v>178</v>
      </c>
      <c r="E6" s="27" t="s">
        <v>179</v>
      </c>
    </row>
    <row r="7" spans="4:5" x14ac:dyDescent="0.3">
      <c r="D7" s="28" t="s">
        <v>2</v>
      </c>
      <c r="E7" s="28" t="s">
        <v>180</v>
      </c>
    </row>
    <row r="8" spans="4:5" x14ac:dyDescent="0.3">
      <c r="D8" s="29" t="s">
        <v>181</v>
      </c>
      <c r="E8" s="30">
        <v>17</v>
      </c>
    </row>
    <row r="9" spans="4:5" x14ac:dyDescent="0.3">
      <c r="D9" s="29" t="s">
        <v>182</v>
      </c>
      <c r="E9" s="30">
        <v>0</v>
      </c>
    </row>
    <row r="10" spans="4:5" x14ac:dyDescent="0.3">
      <c r="D10" s="31" t="s">
        <v>183</v>
      </c>
      <c r="E10" s="32">
        <v>16</v>
      </c>
    </row>
    <row r="11" spans="4:5" x14ac:dyDescent="0.3">
      <c r="D11" s="29" t="s">
        <v>61</v>
      </c>
      <c r="E11" s="30">
        <v>1</v>
      </c>
    </row>
    <row r="12" spans="4:5" x14ac:dyDescent="0.3">
      <c r="D12" s="29" t="s">
        <v>184</v>
      </c>
      <c r="E12" s="30">
        <v>0</v>
      </c>
    </row>
    <row r="13" spans="4:5" x14ac:dyDescent="0.3">
      <c r="D13" s="29" t="s">
        <v>185</v>
      </c>
      <c r="E13" s="3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Tool</vt:lpstr>
      <vt:lpstr>datalist</vt:lpstr>
      <vt:lpstr>Validate</vt:lpstr>
      <vt:lpstr>My Invoices</vt:lpstr>
      <vt:lpstr>Report</vt:lpstr>
    </vt:vector>
  </TitlesOfParts>
  <Company>Nestlé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uskumaramo</dc:creator>
  <cp:lastModifiedBy>Mohanavelu Kumarasamy</cp:lastModifiedBy>
  <dcterms:created xsi:type="dcterms:W3CDTF">2015-02-10T14:24:28Z</dcterms:created>
  <dcterms:modified xsi:type="dcterms:W3CDTF">2020-05-24T04:50:16Z</dcterms:modified>
</cp:coreProperties>
</file>