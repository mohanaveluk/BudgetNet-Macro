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Muthu\Macro\BudgetNet-Macro\"/>
    </mc:Choice>
  </mc:AlternateContent>
  <xr:revisionPtr revIDLastSave="0" documentId="13_ncr:1_{B68F237C-E2D3-424D-904B-B609FB04C976}" xr6:coauthVersionLast="45" xr6:coauthVersionMax="45" xr10:uidLastSave="{00000000-0000-0000-0000-000000000000}"/>
  <bookViews>
    <workbookView xWindow="28680" yWindow="-120" windowWidth="29040" windowHeight="15840" activeTab="2" xr2:uid="{00000000-000D-0000-FFFF-FFFF00000000}"/>
  </bookViews>
  <sheets>
    <sheet name="Tool" sheetId="1" r:id="rId1"/>
    <sheet name="datalist" sheetId="2" r:id="rId2"/>
    <sheet name="Validate" sheetId="52" r:id="rId3"/>
    <sheet name="My Invoices" sheetId="163" r:id="rId4"/>
    <sheet name="Report" sheetId="164" r:id="rId5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5" i="163" l="1"/>
  <c r="AA15" i="163"/>
  <c r="AB14" i="163"/>
  <c r="AA14" i="163"/>
  <c r="AB13" i="163"/>
  <c r="AA13" i="163"/>
  <c r="AB12" i="163"/>
  <c r="AA12" i="163"/>
  <c r="AB11" i="163"/>
  <c r="AA11" i="163"/>
  <c r="AB10" i="163"/>
  <c r="AA10" i="163"/>
  <c r="AB9" i="163"/>
  <c r="AA9" i="163"/>
  <c r="AB8" i="163"/>
  <c r="AA8" i="163"/>
  <c r="AB7" i="163"/>
  <c r="AA7" i="163"/>
  <c r="AB6" i="163"/>
  <c r="AA6" i="163"/>
  <c r="AB5" i="163"/>
  <c r="AA5" i="163"/>
  <c r="AB4" i="163"/>
  <c r="AA4" i="163"/>
  <c r="AB3" i="163"/>
  <c r="AA3" i="163"/>
  <c r="AB2" i="163"/>
  <c r="AA2" i="163"/>
</calcChain>
</file>

<file path=xl/sharedStrings.xml><?xml version="1.0" encoding="utf-8"?>
<sst xmlns="http://schemas.openxmlformats.org/spreadsheetml/2006/main" count="359" uniqueCount="163">
  <si>
    <t>Source file location</t>
  </si>
  <si>
    <t>AddNewColumn</t>
  </si>
  <si>
    <t>Status</t>
  </si>
  <si>
    <t>StatusColumn</t>
  </si>
  <si>
    <t>QueryReasonColumn</t>
  </si>
  <si>
    <t>Gaya001</t>
  </si>
  <si>
    <t>Abhi002</t>
  </si>
  <si>
    <t>Diwa003</t>
  </si>
  <si>
    <t>Swet004</t>
  </si>
  <si>
    <t>Pras005</t>
  </si>
  <si>
    <t>Abhi006</t>
  </si>
  <si>
    <t>Mich007</t>
  </si>
  <si>
    <t>Ivy008</t>
  </si>
  <si>
    <t>Vija009</t>
  </si>
  <si>
    <t>Sura010</t>
  </si>
  <si>
    <t>Prav011</t>
  </si>
  <si>
    <t>Sent012</t>
  </si>
  <si>
    <t>Uma013</t>
  </si>
  <si>
    <t>Pare014</t>
  </si>
  <si>
    <t>Tara015</t>
  </si>
  <si>
    <t>ID</t>
  </si>
  <si>
    <t>Client Name</t>
  </si>
  <si>
    <t>Urgent Invoice</t>
  </si>
  <si>
    <t>Xero Invoice Number</t>
  </si>
  <si>
    <t>Query Status</t>
  </si>
  <si>
    <t>Date of Invoice</t>
  </si>
  <si>
    <t>Provider</t>
  </si>
  <si>
    <t>Total</t>
  </si>
  <si>
    <t>Document Link</t>
  </si>
  <si>
    <t>This Invoice in CRM</t>
  </si>
  <si>
    <t>Date resend the approval email</t>
  </si>
  <si>
    <t>Careview Reference Number</t>
  </si>
  <si>
    <t>Notes</t>
  </si>
  <si>
    <t>Carisma Team Member for Entry</t>
  </si>
  <si>
    <t>Reviewed</t>
  </si>
  <si>
    <t>Reviewed by</t>
  </si>
  <si>
    <t>Date approved by client</t>
  </si>
  <si>
    <t>NDIS Number</t>
  </si>
  <si>
    <t>Added Time</t>
  </si>
  <si>
    <t>test</t>
  </si>
  <si>
    <t>ProcessorID</t>
  </si>
  <si>
    <t>Lines</t>
  </si>
  <si>
    <t>CW</t>
  </si>
  <si>
    <t>Carisma Notes</t>
  </si>
  <si>
    <t>Nature Of Invoice</t>
  </si>
  <si>
    <t>Processing Time</t>
  </si>
  <si>
    <t>Carry Forward Flag</t>
  </si>
  <si>
    <t>Processor</t>
  </si>
  <si>
    <t xml:space="preserve">Processor data </t>
  </si>
  <si>
    <t/>
  </si>
  <si>
    <t>In Queue</t>
  </si>
  <si>
    <t>false</t>
  </si>
  <si>
    <t>EOD file is generated successfully</t>
  </si>
  <si>
    <t>OutputsheetName</t>
  </si>
  <si>
    <t>Sheet1</t>
  </si>
  <si>
    <t>Processed Flag</t>
  </si>
  <si>
    <t>Refund - 2142038000001639568</t>
  </si>
  <si>
    <t>Discovering Strength - 2142038000001925061</t>
  </si>
  <si>
    <t>Processor Id</t>
  </si>
  <si>
    <t>Date</t>
  </si>
  <si>
    <t>Batch</t>
  </si>
  <si>
    <t>14-05-2020-B2</t>
  </si>
  <si>
    <t>No of Invoices</t>
  </si>
  <si>
    <t>Total Allocated</t>
  </si>
  <si>
    <t>Completed</t>
  </si>
  <si>
    <t>Pending(In Queue)</t>
  </si>
  <si>
    <t>Query</t>
  </si>
  <si>
    <t>Duplicate</t>
  </si>
  <si>
    <t>Already in CV</t>
  </si>
  <si>
    <t>Yes</t>
  </si>
  <si>
    <t>Connect Speech Pathology - 2142038000001639860</t>
  </si>
  <si>
    <t>3903220000001755519</t>
  </si>
  <si>
    <t>Kim Henshaw</t>
  </si>
  <si>
    <t>R15925900</t>
  </si>
  <si>
    <t>https://creatorexport.zoho.com/file/michael1466/budget-net-system/All_Invoices/3903220000001755519/Document/download/daCysV3qknD6QkhbmOZEBFx5y6tTr0M59GVdXKfEBFgp835j9avpwO96v42naAkyNaXWDtBz86KDkC7wHHeQFWPagEGkvn8bG1sn?filepath=/1589429814545_9675937.pdf</t>
  </si>
  <si>
    <t>https://crm.zoho.com/crm/org635547234/tab/CustomModule3/2142038000009349176</t>
  </si>
  <si>
    <t>430924537</t>
  </si>
  <si>
    <t>3903220000001755515</t>
  </si>
  <si>
    <t>Jazmin Makawe-Zaicz</t>
  </si>
  <si>
    <t>NDIS-JMZ03S-20-CSSPL</t>
  </si>
  <si>
    <t>Connectx Support Service Pty. Ltd. - 2142038000002680032</t>
  </si>
  <si>
    <t>https://creatorexport.zoho.com/file/michael1466/budget-net-system/All_Invoices/3903220000001755515/Document/download/daCysV3qknD6QkhbmOZEBFx5y6tTr0M59GVdXKfEBFgp835j9avpwO96v42naAkyNaXWDtBz86KDkC7wHHeQFWPagEGkvn8bG1sn?filepath=/1589428081358_NDIS_JMZ03_30042020.docx</t>
  </si>
  <si>
    <t>https://crm.zoho.com/crm/org635547234/tab/CustomModule3/2142038000009363112</t>
  </si>
  <si>
    <t>430396924</t>
  </si>
  <si>
    <t>3903220000001755463</t>
  </si>
  <si>
    <t>Mr. Connor Munro</t>
  </si>
  <si>
    <t>612644-NEX</t>
  </si>
  <si>
    <t>Nextt Health - 2142038000001639895</t>
  </si>
  <si>
    <t>https://creatorexport.zoho.com/file/michael1466/budget-net-system/All_Invoices/3903220000001755463/Document/download/daCysV3qknD6QkhbmOZEBFx5y6tTr0M59GVdXKfEBFgp835j9avpwO96v42naAkyNaXWDtBz86KDkC7wHHeQFWPagEGkvn8bG1sn?filepath=/1589424893188_MAIN14_05_2020_120000_AMDocNo612644.pdf</t>
  </si>
  <si>
    <t>https://crm.zoho.com/crm/org635547234/tab/CustomModule3/2142038000009350122</t>
  </si>
  <si>
    <t>430684706</t>
  </si>
  <si>
    <t>3903220000001755431</t>
  </si>
  <si>
    <t>Shawaiz Ikram</t>
  </si>
  <si>
    <t>INV-28266-BER</t>
  </si>
  <si>
    <t>Better Rehabilitation - 2142038000001640447</t>
  </si>
  <si>
    <t>https://creatorexport.zoho.com/file/michael1466/budget-net-system/All_Invoices/3903220000001755431/Document/download/daCysV3qknD6QkhbmOZEBFx5y6tTr0M59GVdXKfEBFgp835j9avpwO96v42naAkyNaXWDtBz86KDkC7wHHeQFWPagEGkvn8bG1sn?filepath=/1589424249762_Invoice_INV-28266.pdf</t>
  </si>
  <si>
    <t>https://crm.zoho.com/crm/org635547234/tab/CustomModule3/2142038000009353152</t>
  </si>
  <si>
    <t>430733525</t>
  </si>
  <si>
    <t>3903220000001755407</t>
  </si>
  <si>
    <t>Paul Halliwell</t>
  </si>
  <si>
    <t>INV108179-NEH</t>
  </si>
  <si>
    <t>NeuroRehab - 2142038000001639160</t>
  </si>
  <si>
    <t>https://creatorexport.zoho.com/file/michael1466/budget-net-system/All_Invoices/3903220000001755407/Document/download/daCysV3qknD6QkhbmOZEBFx5y6tTr0M59GVdXKfEBFgp835j9avpwO96v42naAkyNaXWDtBz86KDkC7wHHeQFWPagEGkvn8bG1sn?filepath=/1589423605279_InvoiceNo-INV108179.pdf</t>
  </si>
  <si>
    <t>https://crm.zoho.com/crm/org635547234/tab/CustomModule3/2142038000009365110</t>
  </si>
  <si>
    <t>431278105</t>
  </si>
  <si>
    <t>3903220000001755335</t>
  </si>
  <si>
    <t>Jonamie Chua</t>
  </si>
  <si>
    <t>0025-RCB</t>
  </si>
  <si>
    <t>Rachel Beedles - 2142038000009358162</t>
  </si>
  <si>
    <t>https://creatorexport.zoho.com/file/michael1466/budget-net-system/All_Invoices/3903220000001755335/Document/download/daCysV3qknD6QkhbmOZEBFx5y6tTr0M59GVdXKfEBFgp835j9avpwO96v42naAkyNaXWDtBz86KDkC7wHHeQFWPagEGkvn8bG1sn?filepath=/1589421557643_025Rbeedlesinterpretingpdf.pdf</t>
  </si>
  <si>
    <t>https://crm.zoho.com/crm/org635547234/tab/CustomModule3/2142038000009364060</t>
  </si>
  <si>
    <t>431326426</t>
  </si>
  <si>
    <t>3903220000001754467</t>
  </si>
  <si>
    <t>Denzel Sepusione</t>
  </si>
  <si>
    <t>0014456-COSP</t>
  </si>
  <si>
    <t>https://creatorexport.zoho.com/file/michael1466/budget-net-system/All_Invoices/3903220000001754467/Document/download/daCysV3qknD6QkhbmOZEBFx5y6tTr0M59GVdXKfEBFgp835j9avpwO96v42naAkyNaXWDtBz86KDkC7wHHeQFWPagEGkvn8bG1sn?filepath=/1589429688008_invoice-_0014456.pdf</t>
  </si>
  <si>
    <t>https://crm.zoho.com/crm/org635547234/tab/CustomModule3/2142038000009352207</t>
  </si>
  <si>
    <t>430832630</t>
  </si>
  <si>
    <t>3903220000001754463</t>
  </si>
  <si>
    <t>Luca Covino</t>
  </si>
  <si>
    <t>30-04-2020LC-GIPCPL</t>
  </si>
  <si>
    <t>GIPPSLAND COUNSELLING PTY LTD - 2142038000009345127</t>
  </si>
  <si>
    <t>https://creatorexport.zoho.com/file/michael1466/budget-net-system/All_Invoices/3903220000001754463/Document/download/daCysV3qknD6QkhbmOZEBFx5y6tTr0M59GVdXKfEBFgp835j9avpwO96v42naAkyNaXWDtBz86KDkC7wHHeQFWPagEGkvn8bG1sn?filepath=/1589429574986_2020-04-30_19-02.pdf</t>
  </si>
  <si>
    <t>https://crm.zoho.com/crm/org635547234/tab/CustomModule3/2142038000009362113</t>
  </si>
  <si>
    <t>431426670</t>
  </si>
  <si>
    <t>3903220000001754459</t>
  </si>
  <si>
    <t>Leanne Sutton</t>
  </si>
  <si>
    <t>INV000282-MRT</t>
  </si>
  <si>
    <t>MEL TURNER PHYSIO - 2142038000008216154</t>
  </si>
  <si>
    <t>https://creatorexport.zoho.com/file/michael1466/budget-net-system/All_Invoices/3903220000001754459/Document/download/daCysV3qknD6QkhbmOZEBFx5y6tTr0M59GVdXKfEBFgp835j9avpwO96v42naAkyNaXWDtBz86KDkC7wHHeQFWPagEGkvn8bG1sn?filepath=/1589429409458_INV000282.pdf</t>
  </si>
  <si>
    <t>https://crm.zoho.com/crm/org635547234/tab/CustomModule3/2142038000009350151</t>
  </si>
  <si>
    <t>430183387</t>
  </si>
  <si>
    <t>3903220000001754455</t>
  </si>
  <si>
    <t>Bianca Abela</t>
  </si>
  <si>
    <t>167649761-BF</t>
  </si>
  <si>
    <t>Bright Faces - 2142038000001910007</t>
  </si>
  <si>
    <t>https://creatorexport.zoho.com/file/michael1466/budget-net-system/All_Invoices/3903220000001754455/Document/download/daCysV3qknD6QkhbmOZEBFx5y6tTr0M59GVdXKfEBFgp835j9avpwO96v42naAkyNaXWDtBz86KDkC7wHHeQFWPagEGkvn8bG1sn?filepath=/1589429267465_invoice__2_.pdf</t>
  </si>
  <si>
    <t>https://crm.zoho.com/crm/org635547234/tab/CustomModule3/2142038000009357172</t>
  </si>
  <si>
    <t>430770491</t>
  </si>
  <si>
    <t>3903220000001754451</t>
  </si>
  <si>
    <t>Riya Sadana</t>
  </si>
  <si>
    <t>179587311-BF</t>
  </si>
  <si>
    <t>https://creatorexport.zoho.com/file/michael1466/budget-net-system/All_Invoices/3903220000001754451/Document/download/daCysV3qknD6QkhbmOZEBFx5y6tTr0M59GVdXKfEBFgp835j9avpwO96v42naAkyNaXWDtBz86KDkC7wHHeQFWPagEGkvn8bG1sn?filepath=/1589429234938_invoice__1_.pdf</t>
  </si>
  <si>
    <t>https://crm.zoho.com/crm/org635547234/tab/CustomModule3/2142038000009353188</t>
  </si>
  <si>
    <t>431054486</t>
  </si>
  <si>
    <t>3903220000001754447</t>
  </si>
  <si>
    <t>Chloe Smith</t>
  </si>
  <si>
    <t>177305081-DIS</t>
  </si>
  <si>
    <t>https://creatorexport.zoho.com/file/michael1466/budget-net-system/All_Invoices/3903220000001754447/Document/download/daCysV3qknD6QkhbmOZEBFx5y6tTr0M59GVdXKfEBFgp835j9avpwO96v42naAkyNaXWDtBz86KDkC7wHHeQFWPagEGkvn8bG1sn?filepath=/1589429198792_invoice.pdf</t>
  </si>
  <si>
    <t>https://crm.zoho.com/crm/org635547234/tab/CustomModule3/2142038000009348197</t>
  </si>
  <si>
    <t>430909330</t>
  </si>
  <si>
    <t>3903220000001754443</t>
  </si>
  <si>
    <t>Adam Brown</t>
  </si>
  <si>
    <t>61990-KCAFPL</t>
  </si>
  <si>
    <t>KEVIN COLLINS AND FAMILY PTY LTD - 2142038000009130130</t>
  </si>
  <si>
    <t>https://creatorexport.zoho.com/file/michael1466/budget-net-system/All_Invoices/3903220000001754443/Document/download/daCysV3qknD6QkhbmOZEBFx5y6tTr0M59GVdXKfEBFgp835j9avpwO96v42naAkyNaXWDtBz86KDkC7wHHeQFWPagEGkvn8bG1sn?filepath=/1589429129160_INVOICE_61990.pdf</t>
  </si>
  <si>
    <t>https://crm.zoho.com/crm/org635547234/tab/CustomModule3/2142038000009348191</t>
  </si>
  <si>
    <t>430384009</t>
  </si>
  <si>
    <t>3903220000001754439</t>
  </si>
  <si>
    <t>61991-KCAFPL</t>
  </si>
  <si>
    <t>https://creatorexport.zoho.com/file/michael1466/budget-net-system/All_Invoices/3903220000001754439/Document/download/daCysV3qknD6QkhbmOZEBFx5y6tTr0M59GVdXKfEBFgp835j9avpwO96v42naAkyNaXWDtBz86KDkC7wHHeQFWPagEGkvn8bG1sn?filepath=/1589429025251_INVOICE_61991.pdf</t>
  </si>
  <si>
    <t>https://crm.zoho.com/crm/org635547234/tab/CustomModule3/2142038000009365156</t>
  </si>
  <si>
    <t>28/05/2020 23:05:33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</si>
</sst>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10"/>
      <name val="Calibri"/>
      <family val="2"/>
      <scheme val="minor"/>
    </font>
    <font>
      <sz val="12"/>
      <color indexed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 applyBorder="1"/>
    <xf numFmtId="0" fontId="0" fillId="3" borderId="0" xfId="0" applyFill="1"/>
    <xf numFmtId="0" fontId="1" fillId="4" borderId="0" xfId="0" applyFont="1" applyFill="1"/>
    <xf numFmtId="0" fontId="3" fillId="5" borderId="1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3" fillId="6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12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8" borderId="0" xfId="0" applyFill="1"/>
    <xf numFmtId="0" fontId="1" fillId="8" borderId="0" xfId="0" applyFont="1" applyFill="1"/>
    <xf numFmtId="0" fontId="5" fillId="0" borderId="0" xfId="0" applyFont="1"/>
    <xf numFmtId="0" fontId="4" fillId="2" borderId="5" xfId="0" applyFont="1" applyFill="1" applyBorder="1"/>
    <xf numFmtId="0" fontId="4" fillId="9" borderId="14" xfId="0" applyFont="1" applyFill="1" applyBorder="1"/>
    <xf numFmtId="0" fontId="0" fillId="9" borderId="14" xfId="0" applyFill="1" applyBorder="1"/>
    <xf numFmtId="164" fontId="0" fillId="9" borderId="14" xfId="0" applyNumberFormat="1" applyFill="1" applyBorder="1"/>
    <xf numFmtId="0" fontId="0" fillId="0" borderId="0" xfId="0" applyAlignment="1">
      <alignment vertical="center"/>
    </xf>
    <xf numFmtId="0" fontId="6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left" vertical="center" indent="1"/>
    </xf>
    <xf numFmtId="0" fontId="8" fillId="0" borderId="13" xfId="0" applyFont="1" applyBorder="1" applyAlignment="1">
      <alignment horizontal="left" vertical="center" indent="2"/>
    </xf>
    <xf numFmtId="0" fontId="9" fillId="0" borderId="13" xfId="0" applyFont="1" applyBorder="1" applyAlignment="1">
      <alignment horizontal="left" vertical="center" indent="2"/>
    </xf>
    <xf numFmtId="0" fontId="8" fillId="0" borderId="13" xfId="0" applyFont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175260</xdr:rowOff>
        </xdr:from>
        <xdr:to>
          <xdr:col>12</xdr:col>
          <xdr:colOff>563880</xdr:colOff>
          <xdr:row>5</xdr:row>
          <xdr:rowOff>68580</xdr:rowOff>
        </xdr:to>
        <xdr:sp macro="" textlink="">
          <xdr:nvSpPr>
            <xdr:cNvPr id="1025" name="txtSourceFileNa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10</xdr:row>
          <xdr:rowOff>129540</xdr:rowOff>
        </xdr:from>
        <xdr:to>
          <xdr:col>6</xdr:col>
          <xdr:colOff>586740</xdr:colOff>
          <xdr:row>13</xdr:row>
          <xdr:rowOff>129540</xdr:rowOff>
        </xdr:to>
        <xdr:sp macro="" textlink="">
          <xdr:nvSpPr>
            <xdr:cNvPr id="1026" name="cmdGener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3</xdr:row>
          <xdr:rowOff>175260</xdr:rowOff>
        </xdr:from>
        <xdr:to>
          <xdr:col>14</xdr:col>
          <xdr:colOff>160020</xdr:colOff>
          <xdr:row>5</xdr:row>
          <xdr:rowOff>68580</xdr:rowOff>
        </xdr:to>
        <xdr:sp macro="" textlink="">
          <xdr:nvSpPr>
            <xdr:cNvPr id="1027" name="cmdBrow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198120</xdr:colOff>
          <xdr:row>17</xdr:row>
          <xdr:rowOff>121920</xdr:rowOff>
        </xdr:from>
        <xdr:to>
          <xdr:col>15</xdr:col>
          <xdr:colOff>266700</xdr:colOff>
          <xdr:row>18</xdr:row>
          <xdr:rowOff>152400</xdr:rowOff>
        </xdr:to>
        <xdr:sp macro="" textlink="">
          <xdr:nvSpPr>
            <xdr:cNvPr id="1028" name="lblErro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6</xdr:row>
          <xdr:rowOff>167640</xdr:rowOff>
        </xdr:from>
        <xdr:to>
          <xdr:col>12</xdr:col>
          <xdr:colOff>548640</xdr:colOff>
          <xdr:row>8</xdr:row>
          <xdr:rowOff>60960</xdr:rowOff>
        </xdr:to>
        <xdr:sp macro="" textlink="">
          <xdr:nvSpPr>
            <xdr:cNvPr id="1029" name="cmbProcess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160020</xdr:rowOff>
        </xdr:from>
        <xdr:to>
          <xdr:col>8</xdr:col>
          <xdr:colOff>365760</xdr:colOff>
          <xdr:row>10</xdr:row>
          <xdr:rowOff>175260</xdr:rowOff>
        </xdr:to>
        <xdr:sp macro="" textlink="">
          <xdr:nvSpPr>
            <xdr:cNvPr id="25602" name="cmdValidateButton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9"/>
  <sheetViews>
    <sheetView showGridLines="0" workbookViewId="0">
      <selection activeCell="H12" sqref="H12"/>
    </sheetView>
  </sheetViews>
  <sheetFormatPr defaultRowHeight="14.4" x14ac:dyDescent="0.3"/>
  <cols>
    <col min="1" max="16384" width="8.88671875" style="2"/>
  </cols>
  <sheetData>
    <row r="1" spans="2:16" ht="15" thickBot="1" x14ac:dyDescent="0.35"/>
    <row r="2" spans="2:16" x14ac:dyDescent="0.3">
      <c r="B2" s="8"/>
      <c r="C2" s="22" t="s">
        <v>48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10"/>
    </row>
    <row r="3" spans="2:16" x14ac:dyDescent="0.3">
      <c r="B3" s="1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2"/>
    </row>
    <row r="4" spans="2:16" x14ac:dyDescent="0.3">
      <c r="B4" s="1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2"/>
    </row>
    <row r="5" spans="2:16" x14ac:dyDescent="0.3">
      <c r="B5" s="11"/>
      <c r="C5" s="1" t="s">
        <v>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2"/>
    </row>
    <row r="6" spans="2:16" x14ac:dyDescent="0.3">
      <c r="B6" s="1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2"/>
    </row>
    <row r="7" spans="2:16" x14ac:dyDescent="0.3">
      <c r="B7" s="1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2"/>
    </row>
    <row r="8" spans="2:16" x14ac:dyDescent="0.3">
      <c r="B8" s="11"/>
      <c r="C8" s="1"/>
      <c r="D8" s="1" t="s">
        <v>47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2"/>
    </row>
    <row r="9" spans="2:16" x14ac:dyDescent="0.3">
      <c r="B9" s="1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2"/>
    </row>
    <row r="10" spans="2:16" x14ac:dyDescent="0.3">
      <c r="B10" s="1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2"/>
    </row>
    <row r="11" spans="2:16" x14ac:dyDescent="0.3">
      <c r="B11" s="1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2"/>
    </row>
    <row r="12" spans="2:16" x14ac:dyDescent="0.3">
      <c r="B12" s="1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2"/>
    </row>
    <row r="13" spans="2:16" x14ac:dyDescent="0.3">
      <c r="B13" s="1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2"/>
    </row>
    <row r="14" spans="2:16" x14ac:dyDescent="0.3">
      <c r="B14" s="1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2"/>
    </row>
    <row r="15" spans="2:16" x14ac:dyDescent="0.3">
      <c r="B15" s="1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2"/>
    </row>
    <row r="16" spans="2:16" x14ac:dyDescent="0.3">
      <c r="B16" s="1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2"/>
    </row>
    <row r="17" spans="2:16" x14ac:dyDescent="0.3">
      <c r="B17" s="1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2"/>
    </row>
    <row r="18" spans="2:16" x14ac:dyDescent="0.3">
      <c r="B18" s="1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</row>
    <row r="19" spans="2:16" ht="15" thickBot="1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bProcessor">
          <controlPr defaultSize="0" autoLine="0" autoPict="0" r:id="rId5">
            <anchor moveWithCells="1">
              <from>
                <xdr:col>3</xdr:col>
                <xdr:colOff>601980</xdr:colOff>
                <xdr:row>6</xdr:row>
                <xdr:rowOff>167640</xdr:rowOff>
              </from>
              <to>
                <xdr:col>12</xdr:col>
                <xdr:colOff>548640</xdr:colOff>
                <xdr:row>8</xdr:row>
                <xdr:rowOff>60960</xdr:rowOff>
              </to>
            </anchor>
          </controlPr>
        </control>
      </mc:Choice>
      <mc:Fallback>
        <control shapeId="1029" r:id="rId4" name="cmbProcessor"/>
      </mc:Fallback>
    </mc:AlternateContent>
    <mc:AlternateContent xmlns:mc="http://schemas.openxmlformats.org/markup-compatibility/2006">
      <mc:Choice Requires="x14">
        <control shapeId="1028" r:id="rId6" name="lblError">
          <controlPr defaultSize="0" autoLine="0" r:id="rId7">
            <anchor moveWithCells="1">
              <from>
                <xdr:col>9</xdr:col>
                <xdr:colOff>198120</xdr:colOff>
                <xdr:row>17</xdr:row>
                <xdr:rowOff>121920</xdr:rowOff>
              </from>
              <to>
                <xdr:col>15</xdr:col>
                <xdr:colOff>266700</xdr:colOff>
                <xdr:row>18</xdr:row>
                <xdr:rowOff>152400</xdr:rowOff>
              </to>
            </anchor>
          </controlPr>
        </control>
      </mc:Choice>
      <mc:Fallback>
        <control shapeId="1028" r:id="rId6" name="lblError"/>
      </mc:Fallback>
    </mc:AlternateContent>
    <mc:AlternateContent xmlns:mc="http://schemas.openxmlformats.org/markup-compatibility/2006">
      <mc:Choice Requires="x14">
        <control shapeId="1027" r:id="rId8" name="cmdBrowse">
          <controlPr defaultSize="0" autoLine="0" r:id="rId9">
            <anchor moveWithCells="1">
              <from>
                <xdr:col>13</xdr:col>
                <xdr:colOff>15240</xdr:colOff>
                <xdr:row>3</xdr:row>
                <xdr:rowOff>175260</xdr:rowOff>
              </from>
              <to>
                <xdr:col>14</xdr:col>
                <xdr:colOff>160020</xdr:colOff>
                <xdr:row>5</xdr:row>
                <xdr:rowOff>68580</xdr:rowOff>
              </to>
            </anchor>
          </controlPr>
        </control>
      </mc:Choice>
      <mc:Fallback>
        <control shapeId="1027" r:id="rId8" name="cmdBrowse"/>
      </mc:Fallback>
    </mc:AlternateContent>
    <mc:AlternateContent xmlns:mc="http://schemas.openxmlformats.org/markup-compatibility/2006">
      <mc:Choice Requires="x14">
        <control shapeId="1026" r:id="rId10" name="cmdGenerate">
          <controlPr defaultSize="0" autoLine="0" autoPict="0" r:id="rId11">
            <anchor moveWithCells="1">
              <from>
                <xdr:col>4</xdr:col>
                <xdr:colOff>7620</xdr:colOff>
                <xdr:row>10</xdr:row>
                <xdr:rowOff>129540</xdr:rowOff>
              </from>
              <to>
                <xdr:col>6</xdr:col>
                <xdr:colOff>586740</xdr:colOff>
                <xdr:row>13</xdr:row>
                <xdr:rowOff>129540</xdr:rowOff>
              </to>
            </anchor>
          </controlPr>
        </control>
      </mc:Choice>
      <mc:Fallback>
        <control shapeId="1026" r:id="rId10" name="cmdGenerate"/>
      </mc:Fallback>
    </mc:AlternateContent>
    <mc:AlternateContent xmlns:mc="http://schemas.openxmlformats.org/markup-compatibility/2006">
      <mc:Choice Requires="x14">
        <control shapeId="1025" r:id="rId12" name="txtSourceFileName">
          <controlPr defaultSize="0" autoLine="0" r:id="rId13">
            <anchor moveWithCells="1">
              <from>
                <xdr:col>3</xdr:col>
                <xdr:colOff>601980</xdr:colOff>
                <xdr:row>3</xdr:row>
                <xdr:rowOff>175260</xdr:rowOff>
              </from>
              <to>
                <xdr:col>12</xdr:col>
                <xdr:colOff>563880</xdr:colOff>
                <xdr:row>5</xdr:row>
                <xdr:rowOff>68580</xdr:rowOff>
              </to>
            </anchor>
          </controlPr>
        </control>
      </mc:Choice>
      <mc:Fallback>
        <control shapeId="1025" r:id="rId12" name="txtSourceFile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23"/>
  <sheetViews>
    <sheetView topLeftCell="F1" workbookViewId="0">
      <selection activeCell="AA1" sqref="AA1"/>
    </sheetView>
  </sheetViews>
  <sheetFormatPr defaultRowHeight="14.4" x14ac:dyDescent="0.3"/>
  <cols>
    <col min="1" max="1" width="18.44140625" bestFit="1" customWidth="1"/>
    <col min="2" max="2" width="37.33203125" bestFit="1" customWidth="1"/>
    <col min="3" max="3" width="12.109375" bestFit="1" customWidth="1"/>
    <col min="5" max="5" width="15.21875" bestFit="1" customWidth="1"/>
    <col min="7" max="7" width="16.33203125" bestFit="1" customWidth="1"/>
    <col min="8" max="8" width="12.88671875" bestFit="1" customWidth="1"/>
    <col min="29" max="29" width="16.6640625" bestFit="1" customWidth="1"/>
  </cols>
  <sheetData>
    <row r="1" spans="1:29" x14ac:dyDescent="0.3">
      <c r="A1" s="4" t="s">
        <v>20</v>
      </c>
      <c r="B1" s="5" t="s">
        <v>21</v>
      </c>
      <c r="C1" s="5" t="s">
        <v>22</v>
      </c>
      <c r="D1" s="5" t="s">
        <v>23</v>
      </c>
      <c r="E1" s="5" t="s">
        <v>2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  <c r="Q1" s="5" t="s">
        <v>35</v>
      </c>
      <c r="R1" s="5" t="s">
        <v>36</v>
      </c>
      <c r="S1" s="5" t="s">
        <v>37</v>
      </c>
      <c r="T1" s="5" t="s">
        <v>38</v>
      </c>
      <c r="U1" s="5" t="s">
        <v>39</v>
      </c>
      <c r="V1" s="6" t="s">
        <v>40</v>
      </c>
      <c r="W1" s="6" t="s">
        <v>41</v>
      </c>
      <c r="X1" s="6" t="s">
        <v>42</v>
      </c>
      <c r="Y1" s="6" t="s">
        <v>43</v>
      </c>
      <c r="Z1" s="6" t="s">
        <v>44</v>
      </c>
      <c r="AA1" s="6" t="s">
        <v>55</v>
      </c>
      <c r="AB1" s="6" t="s">
        <v>45</v>
      </c>
      <c r="AC1" s="7" t="s">
        <v>46</v>
      </c>
    </row>
    <row r="2" spans="1:29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</row>
    <row r="4" spans="1:29" x14ac:dyDescent="0.3">
      <c r="A4" t="s">
        <v>53</v>
      </c>
      <c r="B4" t="s">
        <v>54</v>
      </c>
    </row>
    <row r="6" spans="1:29" s="3" customFormat="1" x14ac:dyDescent="0.3">
      <c r="A6" s="3" t="s">
        <v>40</v>
      </c>
      <c r="N6" s="3" t="s">
        <v>3</v>
      </c>
      <c r="O6" s="3" t="s">
        <v>4</v>
      </c>
      <c r="P6" s="3" t="s">
        <v>1</v>
      </c>
    </row>
    <row r="7" spans="1:29" x14ac:dyDescent="0.3">
      <c r="A7" s="16" t="s">
        <v>5</v>
      </c>
      <c r="B7" s="17"/>
      <c r="C7" s="17"/>
      <c r="D7" s="17"/>
      <c r="E7" s="17"/>
      <c r="F7" s="18"/>
      <c r="G7" s="18"/>
      <c r="H7" s="18"/>
      <c r="I7" s="17"/>
      <c r="J7" s="17"/>
      <c r="N7">
        <v>5</v>
      </c>
      <c r="O7">
        <v>6</v>
      </c>
      <c r="P7">
        <v>22</v>
      </c>
    </row>
    <row r="8" spans="1:29" x14ac:dyDescent="0.3">
      <c r="A8" s="16" t="s">
        <v>6</v>
      </c>
      <c r="B8" s="17"/>
      <c r="C8" s="17"/>
      <c r="D8" s="17"/>
      <c r="E8" s="17"/>
      <c r="F8" s="18"/>
      <c r="G8" s="18"/>
      <c r="H8" s="18"/>
      <c r="I8" s="17"/>
      <c r="J8" s="17"/>
    </row>
    <row r="9" spans="1:29" x14ac:dyDescent="0.3">
      <c r="A9" s="16" t="s">
        <v>7</v>
      </c>
      <c r="B9" s="17"/>
      <c r="C9" s="17"/>
      <c r="D9" s="17"/>
      <c r="E9" s="17"/>
      <c r="F9" s="17"/>
      <c r="G9" s="17"/>
      <c r="H9" s="17"/>
      <c r="I9" s="17"/>
      <c r="J9" s="17"/>
    </row>
    <row r="10" spans="1:29" x14ac:dyDescent="0.3">
      <c r="A10" s="16" t="s">
        <v>8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</row>
    <row r="11" spans="1:29" x14ac:dyDescent="0.3">
      <c r="A11" s="16" t="s">
        <v>9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</row>
    <row r="12" spans="1:29" x14ac:dyDescent="0.3">
      <c r="A12" s="16" t="s">
        <v>10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</row>
    <row r="13" spans="1:29" x14ac:dyDescent="0.3">
      <c r="A13" s="16" t="s">
        <v>11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</row>
    <row r="14" spans="1:29" x14ac:dyDescent="0.3">
      <c r="A14" s="16" t="s">
        <v>12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</row>
    <row r="15" spans="1:29" x14ac:dyDescent="0.3">
      <c r="A15" s="16" t="s">
        <v>13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</row>
    <row r="16" spans="1:29" x14ac:dyDescent="0.3">
      <c r="A16" s="16" t="s">
        <v>14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</row>
    <row r="17" spans="1:11" x14ac:dyDescent="0.3">
      <c r="A17" s="16" t="s">
        <v>15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</row>
    <row r="18" spans="1:11" x14ac:dyDescent="0.3">
      <c r="A18" s="16" t="s">
        <v>16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</row>
    <row r="19" spans="1:11" x14ac:dyDescent="0.3">
      <c r="A19" s="16" t="s">
        <v>17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</row>
    <row r="20" spans="1:11" x14ac:dyDescent="0.3">
      <c r="A20" s="16" t="s">
        <v>18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</row>
    <row r="21" spans="1:11" x14ac:dyDescent="0.3">
      <c r="A21" s="16" t="s">
        <v>19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</row>
    <row r="22" spans="1:11" x14ac:dyDescent="0.3">
      <c r="B22" s="17"/>
      <c r="C22" s="17"/>
      <c r="D22" s="17"/>
      <c r="E22" s="17"/>
      <c r="F22" s="17"/>
      <c r="G22" s="17"/>
      <c r="H22" s="17"/>
      <c r="I22" s="17"/>
      <c r="J22" s="17"/>
      <c r="K22" s="17"/>
    </row>
    <row r="23" spans="1:11" x14ac:dyDescent="0.3">
      <c r="B23" s="17"/>
      <c r="C23" s="17"/>
      <c r="D23" s="17"/>
      <c r="E23" s="17"/>
      <c r="F23" s="17"/>
      <c r="G23" s="17"/>
      <c r="H23" s="17"/>
      <c r="I23" s="17"/>
      <c r="J23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70FB5-748A-43F4-B464-6AED8362311A}">
  <sheetPr codeName="Sheet24"/>
  <dimension ref="B4:N18"/>
  <sheetViews>
    <sheetView showGridLines="0" tabSelected="1" workbookViewId="0">
      <selection activeCell="D36" sqref="D36"/>
    </sheetView>
  </sheetViews>
  <sheetFormatPr defaultRowHeight="14.4" x14ac:dyDescent="0.3"/>
  <sheetData>
    <row r="4" spans="2:14" x14ac:dyDescent="0.3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2:14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2:14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2:14" x14ac:dyDescent="0.3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</row>
    <row r="8" spans="2:14" x14ac:dyDescent="0.3"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</row>
    <row r="9" spans="2:14" x14ac:dyDescent="0.3"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</row>
    <row r="10" spans="2:14" x14ac:dyDescent="0.3"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</row>
    <row r="11" spans="2:14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</row>
    <row r="12" spans="2:14" x14ac:dyDescent="0.3">
      <c r="B12" s="19"/>
      <c r="C12" s="19"/>
      <c r="D12" s="19"/>
      <c r="E12" s="19"/>
      <c r="F12" s="19"/>
      <c r="G12" s="19"/>
      <c r="H12" s="19"/>
      <c r="I12" s="20"/>
      <c r="J12" s="19"/>
      <c r="K12" s="19"/>
      <c r="L12" s="19"/>
      <c r="M12" s="19"/>
      <c r="N12" s="19"/>
    </row>
    <row r="13" spans="2:14" x14ac:dyDescent="0.3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</row>
    <row r="14" spans="2:14" x14ac:dyDescent="0.3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</row>
    <row r="15" spans="2:14" x14ac:dyDescent="0.3">
      <c r="B15" s="19"/>
      <c r="C15" s="19"/>
      <c r="D15" s="19"/>
      <c r="E15" s="19"/>
      <c r="F15" s="20"/>
      <c r="G15" s="20"/>
      <c r="H15" s="20"/>
      <c r="I15" s="20"/>
      <c r="J15" s="19"/>
      <c r="K15" s="19"/>
      <c r="L15" s="19"/>
      <c r="M15" s="19"/>
      <c r="N15" s="19"/>
    </row>
    <row r="18" spans="4:4" x14ac:dyDescent="0.3">
      <c r="D18" s="21" t="s">
        <v>52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mdValidateButt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160020</xdr:rowOff>
              </from>
              <to>
                <xdr:col>8</xdr:col>
                <xdr:colOff>365760</xdr:colOff>
                <xdr:row>10</xdr:row>
                <xdr:rowOff>175260</xdr:rowOff>
              </to>
            </anchor>
          </controlPr>
        </control>
      </mc:Choice>
      <mc:Fallback>
        <control shapeId="25602" r:id="rId4" name="cmdValida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F8FE-ABA7-4F0A-9475-F4AC8B2E66DD}">
  <dimension ref="A1:AC15"/>
  <sheetViews>
    <sheetView workbookViewId="0"/>
  </sheetViews>
  <sheetFormatPr defaultRowHeight="14.4" x14ac:dyDescent="0.3"/>
  <sheetData>
    <row r="1" spans="1:29" x14ac:dyDescent="0.3">
      <c r="A1" s="23" t="s">
        <v>20</v>
      </c>
      <c r="B1" s="23" t="s">
        <v>21</v>
      </c>
      <c r="C1" s="23" t="s">
        <v>22</v>
      </c>
      <c r="D1" s="23" t="s">
        <v>23</v>
      </c>
      <c r="E1" s="23" t="s">
        <v>2</v>
      </c>
      <c r="F1" s="23" t="s">
        <v>24</v>
      </c>
      <c r="G1" s="23" t="s">
        <v>25</v>
      </c>
      <c r="H1" s="23" t="s">
        <v>26</v>
      </c>
      <c r="I1" s="23" t="s">
        <v>27</v>
      </c>
      <c r="J1" s="23" t="s">
        <v>28</v>
      </c>
      <c r="K1" s="23" t="s">
        <v>29</v>
      </c>
      <c r="L1" s="23" t="s">
        <v>30</v>
      </c>
      <c r="M1" s="23" t="s">
        <v>31</v>
      </c>
      <c r="N1" s="23" t="s">
        <v>32</v>
      </c>
      <c r="O1" s="23" t="s">
        <v>33</v>
      </c>
      <c r="P1" s="23" t="s">
        <v>34</v>
      </c>
      <c r="Q1" s="23" t="s">
        <v>35</v>
      </c>
      <c r="R1" s="23" t="s">
        <v>36</v>
      </c>
      <c r="S1" s="23" t="s">
        <v>37</v>
      </c>
      <c r="T1" s="23" t="s">
        <v>38</v>
      </c>
      <c r="U1" s="23" t="s">
        <v>39</v>
      </c>
      <c r="V1" s="23" t="s">
        <v>40</v>
      </c>
      <c r="W1" s="23" t="s">
        <v>41</v>
      </c>
      <c r="X1" s="23" t="s">
        <v>42</v>
      </c>
      <c r="Y1" s="23" t="s">
        <v>43</v>
      </c>
      <c r="Z1" s="23" t="s">
        <v>44</v>
      </c>
      <c r="AA1" s="23" t="s">
        <v>55</v>
      </c>
      <c r="AB1" s="23" t="s">
        <v>45</v>
      </c>
      <c r="AC1" s="23" t="s">
        <v>46</v>
      </c>
    </row>
    <row r="2" spans="1:29" x14ac:dyDescent="0.3">
      <c r="A2" s="24" t="s">
        <v>71</v>
      </c>
      <c r="B2" s="24" t="s">
        <v>72</v>
      </c>
      <c r="C2" s="24" t="s">
        <v>49</v>
      </c>
      <c r="D2" s="24" t="s">
        <v>73</v>
      </c>
      <c r="E2" s="24" t="s">
        <v>50</v>
      </c>
      <c r="F2" s="24" t="s">
        <v>49</v>
      </c>
      <c r="G2" s="25">
        <v>43965</v>
      </c>
      <c r="H2" s="24" t="s">
        <v>56</v>
      </c>
      <c r="I2" s="24">
        <v>69.3</v>
      </c>
      <c r="J2" s="24" t="s">
        <v>74</v>
      </c>
      <c r="K2" s="24" t="s">
        <v>75</v>
      </c>
      <c r="L2" s="24" t="s">
        <v>49</v>
      </c>
      <c r="M2" s="24" t="s">
        <v>49</v>
      </c>
      <c r="N2" s="24" t="s">
        <v>49</v>
      </c>
      <c r="O2" s="24" t="s">
        <v>49</v>
      </c>
      <c r="P2" s="24" t="s">
        <v>51</v>
      </c>
      <c r="Q2" s="24" t="s">
        <v>49</v>
      </c>
      <c r="R2" s="24" t="s">
        <v>49</v>
      </c>
      <c r="S2" s="24" t="s">
        <v>76</v>
      </c>
      <c r="T2" s="24">
        <v>43965.595081018517</v>
      </c>
      <c r="U2" s="24"/>
      <c r="V2" s="24" t="s">
        <v>9</v>
      </c>
      <c r="W2" s="24"/>
      <c r="X2" s="24"/>
      <c r="Y2" s="24"/>
      <c r="Z2" s="24"/>
      <c r="AA2" s="24" t="str">
        <f>IF(OR(E2="Completed", E2="Duplicate",  E2="Already in Careview"), "Yes", (IF(E2="Query", "", "No")))</f>
        <v>No</v>
      </c>
      <c r="AB2" s="24" t="str">
        <f>IF(OR(E2="Query", E2="In Queue"), "", ("5/28/2020 11:05:33 PM"))</f>
        <v/>
      </c>
      <c r="AC2" s="24" t="s">
        <v>69</v>
      </c>
    </row>
    <row r="3" spans="1:29" x14ac:dyDescent="0.3">
      <c r="A3" s="24" t="s">
        <v>77</v>
      </c>
      <c r="B3" s="24" t="s">
        <v>78</v>
      </c>
      <c r="C3" s="24" t="s">
        <v>49</v>
      </c>
      <c r="D3" s="24" t="s">
        <v>79</v>
      </c>
      <c r="E3" s="24" t="s">
        <v>50</v>
      </c>
      <c r="F3" s="24" t="s">
        <v>49</v>
      </c>
      <c r="G3" s="25">
        <v>43951</v>
      </c>
      <c r="H3" s="24" t="s">
        <v>80</v>
      </c>
      <c r="I3" s="24">
        <v>5069.7</v>
      </c>
      <c r="J3" s="24" t="s">
        <v>81</v>
      </c>
      <c r="K3" s="24" t="s">
        <v>82</v>
      </c>
      <c r="L3" s="24" t="s">
        <v>49</v>
      </c>
      <c r="M3" s="24" t="s">
        <v>49</v>
      </c>
      <c r="N3" s="24" t="s">
        <v>49</v>
      </c>
      <c r="O3" s="24" t="s">
        <v>49</v>
      </c>
      <c r="P3" s="24" t="s">
        <v>51</v>
      </c>
      <c r="Q3" s="24" t="s">
        <v>49</v>
      </c>
      <c r="R3" s="24" t="s">
        <v>49</v>
      </c>
      <c r="S3" s="24" t="s">
        <v>83</v>
      </c>
      <c r="T3" s="24">
        <v>43965.575011574074</v>
      </c>
      <c r="U3" s="24"/>
      <c r="V3" s="24" t="s">
        <v>9</v>
      </c>
      <c r="W3" s="24"/>
      <c r="X3" s="24"/>
      <c r="Y3" s="24"/>
      <c r="Z3" s="24"/>
      <c r="AA3" s="24" t="str">
        <f>IF(OR(E3="Completed", E3="Duplicate",  E3="Already in Careview"), "Yes", (IF(E3="Query", "", "No")))</f>
        <v>No</v>
      </c>
      <c r="AB3" s="24" t="str">
        <f>IF(OR(E3="Query", E3="In Queue"), "", ("5/28/2020 11:05:33 PM"))</f>
        <v/>
      </c>
      <c r="AC3" s="24" t="s">
        <v>69</v>
      </c>
    </row>
    <row r="4" spans="1:29" x14ac:dyDescent="0.3">
      <c r="A4" s="24" t="s">
        <v>84</v>
      </c>
      <c r="B4" s="24" t="s">
        <v>85</v>
      </c>
      <c r="C4" s="24" t="s">
        <v>49</v>
      </c>
      <c r="D4" s="24" t="s">
        <v>86</v>
      </c>
      <c r="E4" s="24" t="s">
        <v>50</v>
      </c>
      <c r="F4" s="24" t="s">
        <v>49</v>
      </c>
      <c r="G4" s="25">
        <v>43964</v>
      </c>
      <c r="H4" s="24" t="s">
        <v>87</v>
      </c>
      <c r="I4" s="24">
        <v>1587.68</v>
      </c>
      <c r="J4" s="24" t="s">
        <v>88</v>
      </c>
      <c r="K4" s="24" t="s">
        <v>89</v>
      </c>
      <c r="L4" s="24" t="s">
        <v>49</v>
      </c>
      <c r="M4" s="24" t="s">
        <v>49</v>
      </c>
      <c r="N4" s="24" t="s">
        <v>49</v>
      </c>
      <c r="O4" s="24" t="s">
        <v>49</v>
      </c>
      <c r="P4" s="24" t="s">
        <v>51</v>
      </c>
      <c r="Q4" s="24" t="s">
        <v>49</v>
      </c>
      <c r="R4" s="24">
        <v>43965.582708333328</v>
      </c>
      <c r="S4" s="24" t="s">
        <v>90</v>
      </c>
      <c r="T4" s="24">
        <v>43965.538113425922</v>
      </c>
      <c r="U4" s="24"/>
      <c r="V4" s="24" t="s">
        <v>9</v>
      </c>
      <c r="W4" s="24"/>
      <c r="X4" s="24"/>
      <c r="Y4" s="24"/>
      <c r="Z4" s="24"/>
      <c r="AA4" s="24" t="str">
        <f>IF(OR(E4="Completed", E4="Duplicate",  E4="Already in Careview"), "Yes", (IF(E4="Query", "", "No")))</f>
        <v>No</v>
      </c>
      <c r="AB4" s="24" t="str">
        <f>IF(OR(E4="Query", E4="In Queue"), "", ("5/28/2020 11:05:33 PM"))</f>
        <v/>
      </c>
      <c r="AC4" s="24" t="s">
        <v>69</v>
      </c>
    </row>
    <row r="5" spans="1:29" x14ac:dyDescent="0.3">
      <c r="A5" s="24" t="s">
        <v>91</v>
      </c>
      <c r="B5" s="24" t="s">
        <v>92</v>
      </c>
      <c r="C5" s="24" t="s">
        <v>49</v>
      </c>
      <c r="D5" s="24" t="s">
        <v>93</v>
      </c>
      <c r="E5" s="24" t="s">
        <v>50</v>
      </c>
      <c r="F5" s="24" t="s">
        <v>49</v>
      </c>
      <c r="G5" s="25">
        <v>43965</v>
      </c>
      <c r="H5" s="24" t="s">
        <v>94</v>
      </c>
      <c r="I5" s="24">
        <v>484.99</v>
      </c>
      <c r="J5" s="24" t="s">
        <v>95</v>
      </c>
      <c r="K5" s="24" t="s">
        <v>96</v>
      </c>
      <c r="L5" s="24" t="s">
        <v>49</v>
      </c>
      <c r="M5" s="24" t="s">
        <v>49</v>
      </c>
      <c r="N5" s="24" t="s">
        <v>49</v>
      </c>
      <c r="O5" s="24" t="s">
        <v>49</v>
      </c>
      <c r="P5" s="24" t="s">
        <v>51</v>
      </c>
      <c r="Q5" s="24" t="s">
        <v>49</v>
      </c>
      <c r="R5" s="24">
        <v>43965.568148148144</v>
      </c>
      <c r="S5" s="24" t="s">
        <v>97</v>
      </c>
      <c r="T5" s="24">
        <v>43965.530671296292</v>
      </c>
      <c r="U5" s="24"/>
      <c r="V5" s="24" t="s">
        <v>9</v>
      </c>
      <c r="W5" s="24"/>
      <c r="X5" s="24"/>
      <c r="Y5" s="24"/>
      <c r="Z5" s="24"/>
      <c r="AA5" s="24" t="str">
        <f>IF(OR(E5="Completed", E5="Duplicate",  E5="Already in Careview"), "Yes", (IF(E5="Query", "", "No")))</f>
        <v>No</v>
      </c>
      <c r="AB5" s="24" t="str">
        <f>IF(OR(E5="Query", E5="In Queue"), "", ("5/28/2020 11:05:33 PM"))</f>
        <v/>
      </c>
      <c r="AC5" s="24" t="s">
        <v>69</v>
      </c>
    </row>
    <row r="6" spans="1:29" x14ac:dyDescent="0.3">
      <c r="A6" s="24" t="s">
        <v>98</v>
      </c>
      <c r="B6" s="24" t="s">
        <v>99</v>
      </c>
      <c r="C6" s="24" t="s">
        <v>49</v>
      </c>
      <c r="D6" s="24" t="s">
        <v>100</v>
      </c>
      <c r="E6" s="24" t="s">
        <v>50</v>
      </c>
      <c r="F6" s="24" t="s">
        <v>49</v>
      </c>
      <c r="G6" s="25">
        <v>43963</v>
      </c>
      <c r="H6" s="24" t="s">
        <v>101</v>
      </c>
      <c r="I6" s="24">
        <v>213.39</v>
      </c>
      <c r="J6" s="24" t="s">
        <v>102</v>
      </c>
      <c r="K6" s="24" t="s">
        <v>103</v>
      </c>
      <c r="L6" s="24" t="s">
        <v>49</v>
      </c>
      <c r="M6" s="24" t="s">
        <v>49</v>
      </c>
      <c r="N6" s="24" t="s">
        <v>49</v>
      </c>
      <c r="O6" s="24" t="s">
        <v>49</v>
      </c>
      <c r="P6" s="24" t="s">
        <v>51</v>
      </c>
      <c r="Q6" s="24" t="s">
        <v>49</v>
      </c>
      <c r="R6" s="24">
        <v>43965.571134259255</v>
      </c>
      <c r="S6" s="24" t="s">
        <v>104</v>
      </c>
      <c r="T6" s="24">
        <v>43965.523206018523</v>
      </c>
      <c r="U6" s="24"/>
      <c r="V6" s="24" t="s">
        <v>9</v>
      </c>
      <c r="W6" s="24"/>
      <c r="X6" s="24"/>
      <c r="Y6" s="24"/>
      <c r="Z6" s="24"/>
      <c r="AA6" s="24" t="str">
        <f>IF(OR(E6="Completed", E6="Duplicate",  E6="Already in Careview"), "Yes", (IF(E6="Query", "", "No")))</f>
        <v>No</v>
      </c>
      <c r="AB6" s="24" t="str">
        <f>IF(OR(E6="Query", E6="In Queue"), "", ("5/28/2020 11:05:33 PM"))</f>
        <v/>
      </c>
      <c r="AC6" s="24" t="s">
        <v>69</v>
      </c>
    </row>
    <row r="7" spans="1:29" x14ac:dyDescent="0.3">
      <c r="A7" s="24" t="s">
        <v>105</v>
      </c>
      <c r="B7" s="24" t="s">
        <v>106</v>
      </c>
      <c r="C7" s="24" t="s">
        <v>49</v>
      </c>
      <c r="D7" s="24" t="s">
        <v>107</v>
      </c>
      <c r="E7" s="24" t="s">
        <v>50</v>
      </c>
      <c r="F7" s="24" t="s">
        <v>49</v>
      </c>
      <c r="G7" s="25">
        <v>43964</v>
      </c>
      <c r="H7" s="24" t="s">
        <v>108</v>
      </c>
      <c r="I7" s="24">
        <v>260</v>
      </c>
      <c r="J7" s="24" t="s">
        <v>109</v>
      </c>
      <c r="K7" s="24" t="s">
        <v>110</v>
      </c>
      <c r="L7" s="24" t="s">
        <v>49</v>
      </c>
      <c r="M7" s="24" t="s">
        <v>49</v>
      </c>
      <c r="N7" s="24" t="s">
        <v>49</v>
      </c>
      <c r="O7" s="24" t="s">
        <v>49</v>
      </c>
      <c r="P7" s="24" t="s">
        <v>51</v>
      </c>
      <c r="Q7" s="24" t="s">
        <v>49</v>
      </c>
      <c r="R7" s="24">
        <v>43965.591782407406</v>
      </c>
      <c r="S7" s="24" t="s">
        <v>111</v>
      </c>
      <c r="T7" s="24">
        <v>43965.499513888892</v>
      </c>
      <c r="U7" s="24"/>
      <c r="V7" s="24" t="s">
        <v>9</v>
      </c>
      <c r="W7" s="24"/>
      <c r="X7" s="24"/>
      <c r="Y7" s="24"/>
      <c r="Z7" s="24"/>
      <c r="AA7" s="24" t="str">
        <f>IF(OR(E7="Completed", E7="Duplicate",  E7="Already in Careview"), "Yes", (IF(E7="Query", "", "No")))</f>
        <v>No</v>
      </c>
      <c r="AB7" s="24" t="str">
        <f>IF(OR(E7="Query", E7="In Queue"), "", ("5/28/2020 11:05:33 PM"))</f>
        <v/>
      </c>
      <c r="AC7" s="24" t="s">
        <v>69</v>
      </c>
    </row>
    <row r="8" spans="1:29" x14ac:dyDescent="0.3">
      <c r="A8" s="24" t="s">
        <v>112</v>
      </c>
      <c r="B8" s="24" t="s">
        <v>113</v>
      </c>
      <c r="C8" s="24" t="s">
        <v>49</v>
      </c>
      <c r="D8" s="24" t="s">
        <v>114</v>
      </c>
      <c r="E8" s="24" t="s">
        <v>50</v>
      </c>
      <c r="F8" s="24" t="s">
        <v>49</v>
      </c>
      <c r="G8" s="25">
        <v>43965</v>
      </c>
      <c r="H8" s="24" t="s">
        <v>70</v>
      </c>
      <c r="I8" s="24">
        <v>135</v>
      </c>
      <c r="J8" s="24" t="s">
        <v>115</v>
      </c>
      <c r="K8" s="24" t="s">
        <v>116</v>
      </c>
      <c r="L8" s="24" t="s">
        <v>49</v>
      </c>
      <c r="M8" s="24" t="s">
        <v>49</v>
      </c>
      <c r="N8" s="24" t="s">
        <v>49</v>
      </c>
      <c r="O8" s="24" t="s">
        <v>49</v>
      </c>
      <c r="P8" s="24" t="s">
        <v>51</v>
      </c>
      <c r="Q8" s="24" t="s">
        <v>49</v>
      </c>
      <c r="R8" s="24" t="s">
        <v>49</v>
      </c>
      <c r="S8" s="24" t="s">
        <v>117</v>
      </c>
      <c r="T8" s="24">
        <v>43965.593611111108</v>
      </c>
      <c r="U8" s="24"/>
      <c r="V8" s="24" t="s">
        <v>9</v>
      </c>
      <c r="W8" s="24"/>
      <c r="X8" s="24"/>
      <c r="Y8" s="24"/>
      <c r="Z8" s="24"/>
      <c r="AA8" s="24" t="str">
        <f>IF(OR(E8="Completed", E8="Duplicate",  E8="Already in Careview"), "Yes", (IF(E8="Query", "", "No")))</f>
        <v>No</v>
      </c>
      <c r="AB8" s="24" t="str">
        <f>IF(OR(E8="Query", E8="In Queue"), "", ("5/28/2020 11:05:33 PM"))</f>
        <v/>
      </c>
      <c r="AC8" s="24" t="s">
        <v>69</v>
      </c>
    </row>
    <row r="9" spans="1:29" x14ac:dyDescent="0.3">
      <c r="A9" s="24" t="s">
        <v>118</v>
      </c>
      <c r="B9" s="24" t="s">
        <v>119</v>
      </c>
      <c r="C9" s="24" t="s">
        <v>49</v>
      </c>
      <c r="D9" s="24" t="s">
        <v>120</v>
      </c>
      <c r="E9" s="24" t="s">
        <v>50</v>
      </c>
      <c r="F9" s="24" t="s">
        <v>49</v>
      </c>
      <c r="G9" s="25">
        <v>43951</v>
      </c>
      <c r="H9" s="24" t="s">
        <v>121</v>
      </c>
      <c r="I9" s="24">
        <v>200</v>
      </c>
      <c r="J9" s="24" t="s">
        <v>122</v>
      </c>
      <c r="K9" s="24" t="s">
        <v>123</v>
      </c>
      <c r="L9" s="24" t="s">
        <v>49</v>
      </c>
      <c r="M9" s="24" t="s">
        <v>49</v>
      </c>
      <c r="N9" s="24" t="s">
        <v>49</v>
      </c>
      <c r="O9" s="24" t="s">
        <v>49</v>
      </c>
      <c r="P9" s="24" t="s">
        <v>51</v>
      </c>
      <c r="Q9" s="24" t="s">
        <v>49</v>
      </c>
      <c r="R9" s="24" t="s">
        <v>49</v>
      </c>
      <c r="S9" s="24" t="s">
        <v>124</v>
      </c>
      <c r="T9" s="24">
        <v>43965.592303240745</v>
      </c>
      <c r="U9" s="24"/>
      <c r="V9" s="24" t="s">
        <v>9</v>
      </c>
      <c r="W9" s="24"/>
      <c r="X9" s="24"/>
      <c r="Y9" s="24"/>
      <c r="Z9" s="24"/>
      <c r="AA9" s="24" t="str">
        <f>IF(OR(E9="Completed", E9="Duplicate",  E9="Already in Careview"), "Yes", (IF(E9="Query", "", "No")))</f>
        <v>No</v>
      </c>
      <c r="AB9" s="24" t="str">
        <f>IF(OR(E9="Query", E9="In Queue"), "", ("5/28/2020 11:05:33 PM"))</f>
        <v/>
      </c>
      <c r="AC9" s="24" t="s">
        <v>69</v>
      </c>
    </row>
    <row r="10" spans="1:29" x14ac:dyDescent="0.3">
      <c r="A10" s="24" t="s">
        <v>125</v>
      </c>
      <c r="B10" s="24" t="s">
        <v>126</v>
      </c>
      <c r="C10" s="24" t="s">
        <v>49</v>
      </c>
      <c r="D10" s="24" t="s">
        <v>127</v>
      </c>
      <c r="E10" s="24" t="s">
        <v>50</v>
      </c>
      <c r="F10" s="24" t="s">
        <v>49</v>
      </c>
      <c r="G10" s="25">
        <v>43965</v>
      </c>
      <c r="H10" s="24" t="s">
        <v>128</v>
      </c>
      <c r="I10" s="24">
        <v>210</v>
      </c>
      <c r="J10" s="24" t="s">
        <v>129</v>
      </c>
      <c r="K10" s="24" t="s">
        <v>130</v>
      </c>
      <c r="L10" s="24" t="s">
        <v>49</v>
      </c>
      <c r="M10" s="24" t="s">
        <v>49</v>
      </c>
      <c r="N10" s="24" t="s">
        <v>49</v>
      </c>
      <c r="O10" s="24" t="s">
        <v>49</v>
      </c>
      <c r="P10" s="24" t="s">
        <v>51</v>
      </c>
      <c r="Q10" s="24" t="s">
        <v>49</v>
      </c>
      <c r="R10" s="24" t="s">
        <v>49</v>
      </c>
      <c r="S10" s="24" t="s">
        <v>131</v>
      </c>
      <c r="T10" s="24">
        <v>43965.59039351852</v>
      </c>
      <c r="U10" s="24"/>
      <c r="V10" s="24" t="s">
        <v>9</v>
      </c>
      <c r="W10" s="24"/>
      <c r="X10" s="24"/>
      <c r="Y10" s="24"/>
      <c r="Z10" s="24"/>
      <c r="AA10" s="24" t="str">
        <f>IF(OR(E10="Completed", E10="Duplicate",  E10="Already in Careview"), "Yes", (IF(E10="Query", "", "No")))</f>
        <v>No</v>
      </c>
      <c r="AB10" s="24" t="str">
        <f>IF(OR(E10="Query", E10="In Queue"), "", ("5/28/2020 11:05:33 PM"))</f>
        <v/>
      </c>
      <c r="AC10" s="24" t="s">
        <v>69</v>
      </c>
    </row>
    <row r="11" spans="1:29" x14ac:dyDescent="0.3">
      <c r="A11" s="24" t="s">
        <v>132</v>
      </c>
      <c r="B11" s="24" t="s">
        <v>133</v>
      </c>
      <c r="C11" s="24" t="s">
        <v>49</v>
      </c>
      <c r="D11" s="24" t="s">
        <v>134</v>
      </c>
      <c r="E11" s="24" t="s">
        <v>50</v>
      </c>
      <c r="F11" s="24" t="s">
        <v>49</v>
      </c>
      <c r="G11" s="25">
        <v>43965</v>
      </c>
      <c r="H11" s="24" t="s">
        <v>135</v>
      </c>
      <c r="I11" s="24">
        <v>200</v>
      </c>
      <c r="J11" s="24" t="s">
        <v>136</v>
      </c>
      <c r="K11" s="24" t="s">
        <v>137</v>
      </c>
      <c r="L11" s="24" t="s">
        <v>49</v>
      </c>
      <c r="M11" s="24" t="s">
        <v>49</v>
      </c>
      <c r="N11" s="24" t="s">
        <v>49</v>
      </c>
      <c r="O11" s="24" t="s">
        <v>49</v>
      </c>
      <c r="P11" s="24" t="s">
        <v>51</v>
      </c>
      <c r="Q11" s="24" t="s">
        <v>49</v>
      </c>
      <c r="R11" s="24" t="s">
        <v>49</v>
      </c>
      <c r="S11" s="24" t="s">
        <v>138</v>
      </c>
      <c r="T11" s="24">
        <v>43965.588749999995</v>
      </c>
      <c r="U11" s="24"/>
      <c r="V11" s="24" t="s">
        <v>9</v>
      </c>
      <c r="W11" s="24"/>
      <c r="X11" s="24"/>
      <c r="Y11" s="24"/>
      <c r="Z11" s="24"/>
      <c r="AA11" s="24" t="str">
        <f>IF(OR(E11="Completed", E11="Duplicate",  E11="Already in Careview"), "Yes", (IF(E11="Query", "", "No")))</f>
        <v>No</v>
      </c>
      <c r="AB11" s="24" t="str">
        <f>IF(OR(E11="Query", E11="In Queue"), "", ("5/28/2020 11:05:33 PM"))</f>
        <v/>
      </c>
      <c r="AC11" s="24" t="s">
        <v>69</v>
      </c>
    </row>
    <row r="12" spans="1:29" x14ac:dyDescent="0.3">
      <c r="A12" s="24" t="s">
        <v>139</v>
      </c>
      <c r="B12" s="24" t="s">
        <v>140</v>
      </c>
      <c r="C12" s="24" t="s">
        <v>49</v>
      </c>
      <c r="D12" s="24" t="s">
        <v>141</v>
      </c>
      <c r="E12" s="24" t="s">
        <v>50</v>
      </c>
      <c r="F12" s="24" t="s">
        <v>49</v>
      </c>
      <c r="G12" s="25">
        <v>43965</v>
      </c>
      <c r="H12" s="24" t="s">
        <v>135</v>
      </c>
      <c r="I12" s="24">
        <v>200</v>
      </c>
      <c r="J12" s="24" t="s">
        <v>142</v>
      </c>
      <c r="K12" s="24" t="s">
        <v>143</v>
      </c>
      <c r="L12" s="24" t="s">
        <v>49</v>
      </c>
      <c r="M12" s="24" t="s">
        <v>49</v>
      </c>
      <c r="N12" s="24" t="s">
        <v>49</v>
      </c>
      <c r="O12" s="24" t="s">
        <v>49</v>
      </c>
      <c r="P12" s="24" t="s">
        <v>51</v>
      </c>
      <c r="Q12" s="24" t="s">
        <v>49</v>
      </c>
      <c r="R12" s="24" t="s">
        <v>49</v>
      </c>
      <c r="S12" s="24" t="s">
        <v>144</v>
      </c>
      <c r="T12" s="24">
        <v>43965.588368055556</v>
      </c>
      <c r="U12" s="24"/>
      <c r="V12" s="24" t="s">
        <v>9</v>
      </c>
      <c r="W12" s="24"/>
      <c r="X12" s="24"/>
      <c r="Y12" s="24"/>
      <c r="Z12" s="24"/>
      <c r="AA12" s="24" t="str">
        <f>IF(OR(E12="Completed", E12="Duplicate",  E12="Already in Careview"), "Yes", (IF(E12="Query", "", "No")))</f>
        <v>No</v>
      </c>
      <c r="AB12" s="24" t="str">
        <f>IF(OR(E12="Query", E12="In Queue"), "", ("5/28/2020 11:05:33 PM"))</f>
        <v/>
      </c>
      <c r="AC12" s="24" t="s">
        <v>69</v>
      </c>
    </row>
    <row r="13" spans="1:29" x14ac:dyDescent="0.3">
      <c r="A13" s="24" t="s">
        <v>145</v>
      </c>
      <c r="B13" s="24" t="s">
        <v>146</v>
      </c>
      <c r="C13" s="24" t="s">
        <v>49</v>
      </c>
      <c r="D13" s="24" t="s">
        <v>147</v>
      </c>
      <c r="E13" s="24" t="s">
        <v>50</v>
      </c>
      <c r="F13" s="24" t="s">
        <v>49</v>
      </c>
      <c r="G13" s="25">
        <v>43965</v>
      </c>
      <c r="H13" s="24" t="s">
        <v>57</v>
      </c>
      <c r="I13" s="24">
        <v>190</v>
      </c>
      <c r="J13" s="24" t="s">
        <v>148</v>
      </c>
      <c r="K13" s="24" t="s">
        <v>149</v>
      </c>
      <c r="L13" s="24" t="s">
        <v>49</v>
      </c>
      <c r="M13" s="24" t="s">
        <v>49</v>
      </c>
      <c r="N13" s="24" t="s">
        <v>49</v>
      </c>
      <c r="O13" s="24" t="s">
        <v>49</v>
      </c>
      <c r="P13" s="24" t="s">
        <v>51</v>
      </c>
      <c r="Q13" s="24" t="s">
        <v>49</v>
      </c>
      <c r="R13" s="24" t="s">
        <v>49</v>
      </c>
      <c r="S13" s="24" t="s">
        <v>150</v>
      </c>
      <c r="T13" s="24">
        <v>43965.587951388894</v>
      </c>
      <c r="U13" s="24"/>
      <c r="V13" s="24" t="s">
        <v>9</v>
      </c>
      <c r="W13" s="24"/>
      <c r="X13" s="24"/>
      <c r="Y13" s="24"/>
      <c r="Z13" s="24"/>
      <c r="AA13" s="24" t="str">
        <f>IF(OR(E13="Completed", E13="Duplicate",  E13="Already in Careview"), "Yes", (IF(E13="Query", "", "No")))</f>
        <v>No</v>
      </c>
      <c r="AB13" s="24" t="str">
        <f>IF(OR(E13="Query", E13="In Queue"), "", ("5/28/2020 11:05:33 PM"))</f>
        <v/>
      </c>
      <c r="AC13" s="24" t="s">
        <v>69</v>
      </c>
    </row>
    <row r="14" spans="1:29" x14ac:dyDescent="0.3">
      <c r="A14" s="24" t="s">
        <v>151</v>
      </c>
      <c r="B14" s="24" t="s">
        <v>152</v>
      </c>
      <c r="C14" s="24" t="s">
        <v>49</v>
      </c>
      <c r="D14" s="24" t="s">
        <v>153</v>
      </c>
      <c r="E14" s="24" t="s">
        <v>50</v>
      </c>
      <c r="F14" s="24" t="s">
        <v>49</v>
      </c>
      <c r="G14" s="25">
        <v>43965</v>
      </c>
      <c r="H14" s="24" t="s">
        <v>154</v>
      </c>
      <c r="I14" s="24">
        <v>150</v>
      </c>
      <c r="J14" s="24" t="s">
        <v>155</v>
      </c>
      <c r="K14" s="24" t="s">
        <v>156</v>
      </c>
      <c r="L14" s="24" t="s">
        <v>49</v>
      </c>
      <c r="M14" s="24" t="s">
        <v>49</v>
      </c>
      <c r="N14" s="24" t="s">
        <v>49</v>
      </c>
      <c r="O14" s="24" t="s">
        <v>49</v>
      </c>
      <c r="P14" s="24" t="s">
        <v>51</v>
      </c>
      <c r="Q14" s="24" t="s">
        <v>49</v>
      </c>
      <c r="R14" s="24" t="s">
        <v>49</v>
      </c>
      <c r="S14" s="24" t="s">
        <v>157</v>
      </c>
      <c r="T14" s="24">
        <v>43965.587141203709</v>
      </c>
      <c r="U14" s="24"/>
      <c r="V14" s="24" t="s">
        <v>9</v>
      </c>
      <c r="W14" s="24"/>
      <c r="X14" s="24"/>
      <c r="Y14" s="24"/>
      <c r="Z14" s="24"/>
      <c r="AA14" s="24" t="str">
        <f>IF(OR(E14="Completed", E14="Duplicate",  E14="Already in Careview"), "Yes", (IF(E14="Query", "", "No")))</f>
        <v>No</v>
      </c>
      <c r="AB14" s="24" t="str">
        <f>IF(OR(E14="Query", E14="In Queue"), "", ("5/28/2020 11:05:33 PM"))</f>
        <v/>
      </c>
      <c r="AC14" s="24" t="s">
        <v>69</v>
      </c>
    </row>
    <row r="15" spans="1:29" x14ac:dyDescent="0.3">
      <c r="A15" s="24" t="s">
        <v>158</v>
      </c>
      <c r="B15" s="24" t="s">
        <v>152</v>
      </c>
      <c r="C15" s="24" t="s">
        <v>49</v>
      </c>
      <c r="D15" s="24" t="s">
        <v>159</v>
      </c>
      <c r="E15" s="24" t="s">
        <v>50</v>
      </c>
      <c r="F15" s="24" t="s">
        <v>49</v>
      </c>
      <c r="G15" s="25">
        <v>43965</v>
      </c>
      <c r="H15" s="24" t="s">
        <v>154</v>
      </c>
      <c r="I15" s="24">
        <v>275</v>
      </c>
      <c r="J15" s="24" t="s">
        <v>160</v>
      </c>
      <c r="K15" s="24" t="s">
        <v>161</v>
      </c>
      <c r="L15" s="24" t="s">
        <v>49</v>
      </c>
      <c r="M15" s="24" t="s">
        <v>49</v>
      </c>
      <c r="N15" s="24" t="s">
        <v>49</v>
      </c>
      <c r="O15" s="24" t="s">
        <v>49</v>
      </c>
      <c r="P15" s="24" t="s">
        <v>51</v>
      </c>
      <c r="Q15" s="24" t="s">
        <v>49</v>
      </c>
      <c r="R15" s="24" t="s">
        <v>49</v>
      </c>
      <c r="S15" s="24" t="s">
        <v>157</v>
      </c>
      <c r="T15" s="24">
        <v>43965.5859375</v>
      </c>
      <c r="U15" s="24"/>
      <c r="V15" s="24" t="s">
        <v>9</v>
      </c>
      <c r="W15" s="24"/>
      <c r="X15" s="24"/>
      <c r="Y15" s="24"/>
      <c r="Z15" s="24"/>
      <c r="AA15" s="24" t="str">
        <f>IF(OR(E15="Completed", E15="Duplicate",  E15="Already in Careview"), "Yes", (IF(E15="Query", "", "No")))</f>
        <v>No</v>
      </c>
      <c r="AB15" s="24" t="str">
        <f>IF(OR(E15="Query", E15="In Queue"), "", ("5/28/2020 11:05:33 PM"))</f>
        <v/>
      </c>
      <c r="AC15" s="24" t="s">
        <v>69</v>
      </c>
    </row>
  </sheetData>
  <dataValidations count="8">
    <dataValidation type="whole" operator="greaterThan" allowBlank="1" showInputMessage="1" showErrorMessage="1" errorTitle="Integers" error="Please enter only number" promptTitle="Integers" prompt="Enter only number (&gt; 0)" sqref="W2:W15" xr:uid="{6FC77030-694A-44AB-8BE9-1D4494A32B25}">
      <formula1>0</formula1>
    </dataValidation>
    <dataValidation type="list" allowBlank="1" showInputMessage="1" showErrorMessage="1" sqref="AC2:AC15" xr:uid="{D05CC593-068C-4D82-9990-AF02C90645DB}">
      <formula1>"N,Y"</formula1>
    </dataValidation>
    <dataValidation type="list" allowBlank="1" showInputMessage="1" showErrorMessage="1" sqref="AA2:AA15" xr:uid="{4013D662-8756-4F6C-9394-95AACC6E8B09}">
      <formula1>"No,Yes"</formula1>
    </dataValidation>
    <dataValidation type="list" allowBlank="1" showInputMessage="1" showErrorMessage="1" sqref="Z2:Z15" xr:uid="{A380A499-82E4-40EE-84CC-9C209D027A2C}">
      <formula1>"Very Easy,Easy,Medium,Difficult"</formula1>
    </dataValidation>
    <dataValidation type="list" allowBlank="1" showInputMessage="1" showErrorMessage="1" sqref="X2:X15" xr:uid="{D2799048-8A0D-48D3-8AF8-BBDC766548BC}">
      <formula1>"C,W"</formula1>
    </dataValidation>
    <dataValidation type="list" allowBlank="1" showInputMessage="1" showErrorMessage="1" sqref="V2:V15" xr:uid="{440CBA2F-946B-4D6D-8B93-40CE044F7821}">
      <formula1>"Gaya001,Abhi002,Diwa003,Swet004,Pras005,Abhi006,Mich007,Ivy008,Vija009,Sura010,Prav011,Sent012,Uma013,Pare014,Tara015"</formula1>
    </dataValidation>
    <dataValidation type="list" allowBlank="1" showInputMessage="1" showErrorMessage="1" sqref="F2:F15" xr:uid="{C1F5BB56-1FD5-4CF6-9A87-516420D92884}">
      <formula1>"Plan Period,Service date not within contract date,Funding insufficient for plan category,Plan category not allocated,New service/no desc - Active on Code,ABN details mismatch,Insufficient details,New Client awaiting Setup,Statement quotation"</formula1>
    </dataValidation>
    <dataValidation type="list" allowBlank="1" showInputMessage="1" showErrorMessage="1" sqref="E2:E15" xr:uid="{FD85E845-36E8-4FC1-8CC2-5AF0E94A2047}">
      <formula1>"In Queue,Query,Duplicate,Already in Careview,Completed"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8781D-7E15-4F0A-B9FA-CFAADDD80DA4}">
  <dimension ref="D4:E13"/>
  <sheetViews>
    <sheetView showGridLines="0" workbookViewId="0"/>
  </sheetViews>
  <sheetFormatPr defaultRowHeight="14.4" x14ac:dyDescent="0.3"/>
  <cols>
    <col min="4" max="5" width="25.77734375" customWidth="1"/>
  </cols>
  <sheetData>
    <row r="4" spans="4:5" s="26" customFormat="1" ht="25.05" customHeight="1" x14ac:dyDescent="0.3">
      <c r="D4" s="27" t="s">
        <v>58</v>
      </c>
      <c r="E4" s="27" t="s">
        <v>9</v>
      </c>
    </row>
    <row r="5" spans="4:5" s="26" customFormat="1" ht="25.05" customHeight="1" x14ac:dyDescent="0.3">
      <c r="D5" s="28" t="s">
        <v>59</v>
      </c>
      <c r="E5" s="29" t="s">
        <v>162</v>
      </c>
    </row>
    <row r="6" spans="4:5" s="26" customFormat="1" ht="25.05" customHeight="1" x14ac:dyDescent="0.3">
      <c r="D6" s="28" t="s">
        <v>60</v>
      </c>
      <c r="E6" s="29" t="s">
        <v>61</v>
      </c>
    </row>
    <row r="7" spans="4:5" s="26" customFormat="1" ht="25.05" customHeight="1" x14ac:dyDescent="0.3">
      <c r="D7" s="27" t="s">
        <v>2</v>
      </c>
      <c r="E7" s="27" t="s">
        <v>62</v>
      </c>
    </row>
    <row r="8" spans="4:5" ht="19.95" customHeight="1" x14ac:dyDescent="0.3">
      <c r="D8" s="30" t="s">
        <v>63</v>
      </c>
      <c r="E8" s="32">
        <v>14</v>
      </c>
    </row>
    <row r="9" spans="4:5" ht="19.95" customHeight="1" x14ac:dyDescent="0.3">
      <c r="D9" s="30" t="s">
        <v>64</v>
      </c>
      <c r="E9" s="32">
        <v>0</v>
      </c>
    </row>
    <row r="10" spans="4:5" ht="19.95" customHeight="1" x14ac:dyDescent="0.3">
      <c r="D10" s="31" t="s">
        <v>65</v>
      </c>
      <c r="E10" s="33">
        <v>14</v>
      </c>
    </row>
    <row r="11" spans="4:5" ht="19.95" customHeight="1" x14ac:dyDescent="0.3">
      <c r="D11" s="30" t="s">
        <v>66</v>
      </c>
      <c r="E11" s="32">
        <v>0</v>
      </c>
    </row>
    <row r="12" spans="4:5" ht="19.95" customHeight="1" x14ac:dyDescent="0.3">
      <c r="D12" s="30" t="s">
        <v>67</v>
      </c>
      <c r="E12" s="32">
        <v>0</v>
      </c>
    </row>
    <row r="13" spans="4:5" ht="19.95" customHeight="1" x14ac:dyDescent="0.3">
      <c r="D13" s="30" t="s">
        <v>68</v>
      </c>
      <c r="E13" s="3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Tool</vt:lpstr>
      <vt:lpstr>datalist</vt:lpstr>
      <vt:lpstr>Validate</vt:lpstr>
      <vt:lpstr>My Invoices</vt:lpstr>
      <vt:lpstr>Report</vt:lpstr>
    </vt:vector>
  </TitlesOfParts>
  <Company>Nestlé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uskumaramo</dc:creator>
  <cp:lastModifiedBy>Mohanavelu Kumarasamy</cp:lastModifiedBy>
  <dcterms:created xsi:type="dcterms:W3CDTF">2015-02-10T14:24:28Z</dcterms:created>
  <dcterms:modified xsi:type="dcterms:W3CDTF">2020-05-29T04:05:48Z</dcterms:modified>
</cp:coreProperties>
</file>